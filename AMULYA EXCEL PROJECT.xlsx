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4F5450D5DD6560DD/ドキュメント/certificates/"/>
    </mc:Choice>
  </mc:AlternateContent>
  <xr:revisionPtr revIDLastSave="1460" documentId="8_{B8A5D83F-7EE1-453E-9FAE-D1EF9BA7A0F4}" xr6:coauthVersionLast="47" xr6:coauthVersionMax="47" xr10:uidLastSave="{D727E935-315B-4C02-A1BC-993096021D13}"/>
  <bookViews>
    <workbookView xWindow="-108" yWindow="-108" windowWidth="23256" windowHeight="12456" activeTab="7" xr2:uid="{00000000-000D-0000-FFFF-FFFF00000000}"/>
  </bookViews>
  <sheets>
    <sheet name="3B" sheetId="3" r:id="rId1"/>
    <sheet name="3C" sheetId="6" r:id="rId2"/>
    <sheet name="Top 10 Customers by Total Sales" sheetId="13" r:id="rId3"/>
    <sheet name="13" sheetId="15" r:id="rId4"/>
    <sheet name="14" sheetId="16" r:id="rId5"/>
    <sheet name="15" sheetId="17" r:id="rId6"/>
    <sheet name="16" sheetId="18" r:id="rId7"/>
    <sheet name="17" sheetId="19" r:id="rId8"/>
    <sheet name="data" sheetId="1" r:id="rId9"/>
    <sheet name="Dashboard" sheetId="20" r:id="rId10"/>
  </sheets>
  <definedNames>
    <definedName name="_xlnm._FilterDatabase" localSheetId="8" hidden="1">data!$A$1:$Y$501</definedName>
    <definedName name="_xlcn.WorksheetConnection_M2S7_Excel_Mini_Project_data11.xlsxTable11" hidden="1">Table1[]</definedName>
    <definedName name="cop">#REF!</definedName>
    <definedName name="Slicer_City">#N/A</definedName>
    <definedName name="Slicer_Coupon_Code">#N/A</definedName>
    <definedName name="Slicer_Gender">#N/A</definedName>
    <definedName name="Slicer_Order_Month">#N/A</definedName>
    <definedName name="Slicer_Product_ID">#N/A</definedName>
  </definedNames>
  <calcPr calcId="191029"/>
  <pivotCaches>
    <pivotCache cacheId="0" r:id="rId11"/>
    <pivotCache cacheId="1" r:id="rId12"/>
    <pivotCache cacheId="2" r:id="rId13"/>
  </pivotCaches>
  <extLst>
    <ext xmlns:x14="http://schemas.microsoft.com/office/spreadsheetml/2009/9/main" uri="{876F7934-8845-4945-9796-88D515C7AA90}">
      <x14:pivotCaches>
        <pivotCache cacheId="3" r:id="rId14"/>
      </x14:pivotCaches>
    </ex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M2S7_Excel_Mini_Project_data (1)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0" roundtripDataChecksum="N6ci64WPNruKfN4cipXVws4UpTTdE6fYdULTWuGry/Y="/>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Q2" i="1"/>
  <c r="AE2" i="1" s="1"/>
  <c r="AF2" i="1" s="1"/>
  <c r="AA2" i="1"/>
  <c r="AB2" i="1" s="1"/>
  <c r="AA3" i="1"/>
  <c r="AB3" i="1" s="1"/>
  <c r="AA4" i="1"/>
  <c r="AB4" i="1" s="1"/>
  <c r="AA5" i="1"/>
  <c r="AB5" i="1" s="1"/>
  <c r="AA6" i="1"/>
  <c r="AB6" i="1" s="1"/>
  <c r="AA7" i="1"/>
  <c r="AB7" i="1" s="1"/>
  <c r="AA8" i="1"/>
  <c r="AB8" i="1" s="1"/>
  <c r="AA9" i="1"/>
  <c r="AB9" i="1" s="1"/>
  <c r="AA10" i="1"/>
  <c r="AB10" i="1" s="1"/>
  <c r="AA11" i="1"/>
  <c r="AB11" i="1" s="1"/>
  <c r="AA12" i="1"/>
  <c r="AB12" i="1" s="1"/>
  <c r="AA13" i="1"/>
  <c r="AB13" i="1" s="1"/>
  <c r="AA14" i="1"/>
  <c r="AB14" i="1" s="1"/>
  <c r="AA15" i="1"/>
  <c r="AB15" i="1" s="1"/>
  <c r="AA16" i="1"/>
  <c r="AB16" i="1" s="1"/>
  <c r="AA17" i="1"/>
  <c r="AB17" i="1" s="1"/>
  <c r="AA18" i="1"/>
  <c r="AB18" i="1" s="1"/>
  <c r="AA19" i="1"/>
  <c r="AB19" i="1" s="1"/>
  <c r="AA20" i="1"/>
  <c r="AB20" i="1" s="1"/>
  <c r="AA21" i="1"/>
  <c r="AB21" i="1" s="1"/>
  <c r="AA22" i="1"/>
  <c r="AB22" i="1" s="1"/>
  <c r="AA23" i="1"/>
  <c r="AB23" i="1" s="1"/>
  <c r="AA24" i="1"/>
  <c r="AB24" i="1" s="1"/>
  <c r="AA25" i="1"/>
  <c r="AB25" i="1" s="1"/>
  <c r="AA26" i="1"/>
  <c r="AB26" i="1" s="1"/>
  <c r="AA27" i="1"/>
  <c r="AB27" i="1" s="1"/>
  <c r="AA28" i="1"/>
  <c r="AB28" i="1" s="1"/>
  <c r="AA29" i="1"/>
  <c r="AB29" i="1" s="1"/>
  <c r="AA30" i="1"/>
  <c r="AB30" i="1" s="1"/>
  <c r="AA31" i="1"/>
  <c r="AB31" i="1" s="1"/>
  <c r="AA32" i="1"/>
  <c r="AB32" i="1" s="1"/>
  <c r="AA33" i="1"/>
  <c r="AB33" i="1" s="1"/>
  <c r="AA34" i="1"/>
  <c r="AB34" i="1" s="1"/>
  <c r="AA35" i="1"/>
  <c r="AB35" i="1" s="1"/>
  <c r="AA36" i="1"/>
  <c r="AB36" i="1" s="1"/>
  <c r="AA37" i="1"/>
  <c r="AB37" i="1" s="1"/>
  <c r="AA38" i="1"/>
  <c r="AB38" i="1" s="1"/>
  <c r="AA39" i="1"/>
  <c r="AB39" i="1" s="1"/>
  <c r="AA40" i="1"/>
  <c r="AB40" i="1" s="1"/>
  <c r="AA41" i="1"/>
  <c r="AB41" i="1" s="1"/>
  <c r="AA42" i="1"/>
  <c r="AB42" i="1" s="1"/>
  <c r="AA43" i="1"/>
  <c r="AB43" i="1" s="1"/>
  <c r="AA44" i="1"/>
  <c r="AB44" i="1" s="1"/>
  <c r="AA45" i="1"/>
  <c r="AB45" i="1" s="1"/>
  <c r="AA46" i="1"/>
  <c r="AB46" i="1" s="1"/>
  <c r="AA47" i="1"/>
  <c r="AB47" i="1" s="1"/>
  <c r="AA48" i="1"/>
  <c r="AB48" i="1" s="1"/>
  <c r="AA49" i="1"/>
  <c r="AB49" i="1" s="1"/>
  <c r="AA50" i="1"/>
  <c r="AB50" i="1" s="1"/>
  <c r="AA51" i="1"/>
  <c r="AB51" i="1" s="1"/>
  <c r="AA52" i="1"/>
  <c r="AB52" i="1" s="1"/>
  <c r="AA53" i="1"/>
  <c r="AB53" i="1" s="1"/>
  <c r="AA54" i="1"/>
  <c r="AB54" i="1" s="1"/>
  <c r="AA55" i="1"/>
  <c r="AB55" i="1" s="1"/>
  <c r="AA56" i="1"/>
  <c r="AB56" i="1" s="1"/>
  <c r="AA57" i="1"/>
  <c r="AB57" i="1" s="1"/>
  <c r="AA58" i="1"/>
  <c r="AB58" i="1" s="1"/>
  <c r="AA59" i="1"/>
  <c r="AB59" i="1" s="1"/>
  <c r="AA60" i="1"/>
  <c r="AB60" i="1" s="1"/>
  <c r="AA61" i="1"/>
  <c r="AB61" i="1" s="1"/>
  <c r="AA62" i="1"/>
  <c r="AB62" i="1" s="1"/>
  <c r="AA63" i="1"/>
  <c r="AB63" i="1" s="1"/>
  <c r="AA64" i="1"/>
  <c r="AB64" i="1" s="1"/>
  <c r="AA65" i="1"/>
  <c r="AB65" i="1" s="1"/>
  <c r="AA66" i="1"/>
  <c r="AB66" i="1" s="1"/>
  <c r="AA67" i="1"/>
  <c r="AB67" i="1" s="1"/>
  <c r="AA68" i="1"/>
  <c r="AB68" i="1" s="1"/>
  <c r="AA69" i="1"/>
  <c r="AB69" i="1" s="1"/>
  <c r="AA70" i="1"/>
  <c r="AB70" i="1" s="1"/>
  <c r="AA71" i="1"/>
  <c r="AB71" i="1" s="1"/>
  <c r="AA72" i="1"/>
  <c r="AB72" i="1" s="1"/>
  <c r="AA73" i="1"/>
  <c r="AB73" i="1" s="1"/>
  <c r="AA74" i="1"/>
  <c r="AB74" i="1" s="1"/>
  <c r="AA75" i="1"/>
  <c r="AB75" i="1" s="1"/>
  <c r="AA76" i="1"/>
  <c r="AB76" i="1" s="1"/>
  <c r="AA77" i="1"/>
  <c r="AB77" i="1" s="1"/>
  <c r="AA78" i="1"/>
  <c r="AB78" i="1" s="1"/>
  <c r="AA79" i="1"/>
  <c r="AB79" i="1" s="1"/>
  <c r="AA80" i="1"/>
  <c r="AB80" i="1" s="1"/>
  <c r="AA81" i="1"/>
  <c r="AB81" i="1" s="1"/>
  <c r="AA82" i="1"/>
  <c r="AB82" i="1" s="1"/>
  <c r="AA83" i="1"/>
  <c r="AB83" i="1" s="1"/>
  <c r="AA84" i="1"/>
  <c r="AB84" i="1" s="1"/>
  <c r="AA85" i="1"/>
  <c r="AB85" i="1" s="1"/>
  <c r="AA86" i="1"/>
  <c r="AB86" i="1" s="1"/>
  <c r="AA87" i="1"/>
  <c r="AB87" i="1" s="1"/>
  <c r="AA88" i="1"/>
  <c r="AB88" i="1" s="1"/>
  <c r="AA89" i="1"/>
  <c r="AB89" i="1" s="1"/>
  <c r="AA90" i="1"/>
  <c r="AB90" i="1" s="1"/>
  <c r="AA91" i="1"/>
  <c r="AB91" i="1" s="1"/>
  <c r="AA92" i="1"/>
  <c r="AB92" i="1" s="1"/>
  <c r="AA93" i="1"/>
  <c r="AB93" i="1" s="1"/>
  <c r="AA94" i="1"/>
  <c r="AB94" i="1" s="1"/>
  <c r="AA95" i="1"/>
  <c r="AB95" i="1" s="1"/>
  <c r="AA96" i="1"/>
  <c r="AB96" i="1" s="1"/>
  <c r="AA97" i="1"/>
  <c r="AB97" i="1" s="1"/>
  <c r="AA98" i="1"/>
  <c r="AB98" i="1" s="1"/>
  <c r="AA99" i="1"/>
  <c r="AB99" i="1" s="1"/>
  <c r="AA100" i="1"/>
  <c r="AB100" i="1" s="1"/>
  <c r="AA101" i="1"/>
  <c r="AB101" i="1" s="1"/>
  <c r="AA102" i="1"/>
  <c r="AB102" i="1" s="1"/>
  <c r="AA103" i="1"/>
  <c r="AB103" i="1" s="1"/>
  <c r="AA104" i="1"/>
  <c r="AB104" i="1" s="1"/>
  <c r="AA105" i="1"/>
  <c r="AB105" i="1" s="1"/>
  <c r="AA106" i="1"/>
  <c r="AB106" i="1" s="1"/>
  <c r="AA107" i="1"/>
  <c r="AB107" i="1" s="1"/>
  <c r="AA108" i="1"/>
  <c r="AB108" i="1" s="1"/>
  <c r="AA109" i="1"/>
  <c r="AB109" i="1" s="1"/>
  <c r="AA110" i="1"/>
  <c r="AB110" i="1" s="1"/>
  <c r="AA111" i="1"/>
  <c r="AB111" i="1" s="1"/>
  <c r="AA112" i="1"/>
  <c r="AB112" i="1" s="1"/>
  <c r="AA113" i="1"/>
  <c r="AB113" i="1" s="1"/>
  <c r="AA114" i="1"/>
  <c r="AB114" i="1" s="1"/>
  <c r="AA115" i="1"/>
  <c r="AB115" i="1" s="1"/>
  <c r="AA116" i="1"/>
  <c r="AB116" i="1" s="1"/>
  <c r="AA117" i="1"/>
  <c r="AB117" i="1" s="1"/>
  <c r="AA118" i="1"/>
  <c r="AB118" i="1" s="1"/>
  <c r="AA119" i="1"/>
  <c r="AB119" i="1" s="1"/>
  <c r="AA120" i="1"/>
  <c r="AB120" i="1" s="1"/>
  <c r="AA121" i="1"/>
  <c r="AB121" i="1" s="1"/>
  <c r="AA122" i="1"/>
  <c r="AB122" i="1" s="1"/>
  <c r="AA123" i="1"/>
  <c r="AB123" i="1" s="1"/>
  <c r="AA124" i="1"/>
  <c r="AB124" i="1" s="1"/>
  <c r="AA125" i="1"/>
  <c r="AB125" i="1" s="1"/>
  <c r="AA126" i="1"/>
  <c r="AB126" i="1" s="1"/>
  <c r="AA127" i="1"/>
  <c r="AB127" i="1" s="1"/>
  <c r="AA128" i="1"/>
  <c r="AB128" i="1" s="1"/>
  <c r="AA129" i="1"/>
  <c r="AB129" i="1" s="1"/>
  <c r="AA130" i="1"/>
  <c r="AB130" i="1" s="1"/>
  <c r="AA131" i="1"/>
  <c r="AB131" i="1" s="1"/>
  <c r="AA132" i="1"/>
  <c r="AB132" i="1" s="1"/>
  <c r="AA133" i="1"/>
  <c r="AB133" i="1" s="1"/>
  <c r="AA134" i="1"/>
  <c r="AB134" i="1" s="1"/>
  <c r="AA135" i="1"/>
  <c r="AB135" i="1" s="1"/>
  <c r="AA136" i="1"/>
  <c r="AB136" i="1" s="1"/>
  <c r="AA137" i="1"/>
  <c r="AB137" i="1" s="1"/>
  <c r="AA138" i="1"/>
  <c r="AB138" i="1" s="1"/>
  <c r="AA139" i="1"/>
  <c r="AB139" i="1" s="1"/>
  <c r="AA140" i="1"/>
  <c r="AB140" i="1" s="1"/>
  <c r="AA141" i="1"/>
  <c r="AB141" i="1" s="1"/>
  <c r="AA142" i="1"/>
  <c r="AB142" i="1" s="1"/>
  <c r="AA143" i="1"/>
  <c r="AB143" i="1" s="1"/>
  <c r="AA144" i="1"/>
  <c r="AB144" i="1" s="1"/>
  <c r="AA145" i="1"/>
  <c r="AB145" i="1" s="1"/>
  <c r="AA146" i="1"/>
  <c r="AB146" i="1" s="1"/>
  <c r="AA147" i="1"/>
  <c r="AB147" i="1" s="1"/>
  <c r="AA148" i="1"/>
  <c r="AB148" i="1" s="1"/>
  <c r="AA149" i="1"/>
  <c r="AB149" i="1" s="1"/>
  <c r="AA150" i="1"/>
  <c r="AB150" i="1" s="1"/>
  <c r="AA151" i="1"/>
  <c r="AB151" i="1" s="1"/>
  <c r="AA152" i="1"/>
  <c r="AB152" i="1" s="1"/>
  <c r="AA153" i="1"/>
  <c r="AB153" i="1" s="1"/>
  <c r="AA154" i="1"/>
  <c r="AB154" i="1" s="1"/>
  <c r="AA155" i="1"/>
  <c r="AB155" i="1" s="1"/>
  <c r="AA156" i="1"/>
  <c r="AB156" i="1" s="1"/>
  <c r="AA157" i="1"/>
  <c r="AB157" i="1" s="1"/>
  <c r="AA158" i="1"/>
  <c r="AB158" i="1" s="1"/>
  <c r="AA159" i="1"/>
  <c r="AB159" i="1" s="1"/>
  <c r="AA160" i="1"/>
  <c r="AB160" i="1" s="1"/>
  <c r="AA161" i="1"/>
  <c r="AB161" i="1" s="1"/>
  <c r="AA162" i="1"/>
  <c r="AB162" i="1" s="1"/>
  <c r="AA163" i="1"/>
  <c r="AB163" i="1" s="1"/>
  <c r="AA164" i="1"/>
  <c r="AB164" i="1" s="1"/>
  <c r="AA165" i="1"/>
  <c r="AB165" i="1" s="1"/>
  <c r="AA166" i="1"/>
  <c r="AB166" i="1" s="1"/>
  <c r="AA167" i="1"/>
  <c r="AB167" i="1" s="1"/>
  <c r="AA168" i="1"/>
  <c r="AB168" i="1" s="1"/>
  <c r="AA169" i="1"/>
  <c r="AB169" i="1" s="1"/>
  <c r="AA170" i="1"/>
  <c r="AB170" i="1" s="1"/>
  <c r="AA171" i="1"/>
  <c r="AB171" i="1" s="1"/>
  <c r="AA172" i="1"/>
  <c r="AB172" i="1" s="1"/>
  <c r="AA173" i="1"/>
  <c r="AB173" i="1" s="1"/>
  <c r="AA174" i="1"/>
  <c r="AB174" i="1" s="1"/>
  <c r="AA175" i="1"/>
  <c r="AB175" i="1" s="1"/>
  <c r="AA176" i="1"/>
  <c r="AB176" i="1" s="1"/>
  <c r="AA177" i="1"/>
  <c r="AB177" i="1" s="1"/>
  <c r="AA178" i="1"/>
  <c r="AB178" i="1" s="1"/>
  <c r="AA179" i="1"/>
  <c r="AB179" i="1" s="1"/>
  <c r="AA180" i="1"/>
  <c r="AB180" i="1" s="1"/>
  <c r="AA181" i="1"/>
  <c r="AB181" i="1" s="1"/>
  <c r="AA182" i="1"/>
  <c r="AB182" i="1" s="1"/>
  <c r="AA183" i="1"/>
  <c r="AB183" i="1" s="1"/>
  <c r="AA184" i="1"/>
  <c r="AB184" i="1" s="1"/>
  <c r="AA185" i="1"/>
  <c r="AB185" i="1" s="1"/>
  <c r="AA186" i="1"/>
  <c r="AB186" i="1" s="1"/>
  <c r="AA187" i="1"/>
  <c r="AB187" i="1" s="1"/>
  <c r="AA188" i="1"/>
  <c r="AB188" i="1" s="1"/>
  <c r="AA189" i="1"/>
  <c r="AB189" i="1" s="1"/>
  <c r="AA190" i="1"/>
  <c r="AB190" i="1" s="1"/>
  <c r="AA191" i="1"/>
  <c r="AB191" i="1" s="1"/>
  <c r="AA192" i="1"/>
  <c r="AB192" i="1" s="1"/>
  <c r="AA193" i="1"/>
  <c r="AB193" i="1" s="1"/>
  <c r="AA194" i="1"/>
  <c r="AB194" i="1" s="1"/>
  <c r="AA195" i="1"/>
  <c r="AB195" i="1" s="1"/>
  <c r="AA196" i="1"/>
  <c r="AB196" i="1" s="1"/>
  <c r="AA197" i="1"/>
  <c r="AB197" i="1" s="1"/>
  <c r="AA198" i="1"/>
  <c r="AB198" i="1" s="1"/>
  <c r="AA199" i="1"/>
  <c r="AB199" i="1" s="1"/>
  <c r="AA200" i="1"/>
  <c r="AB200" i="1" s="1"/>
  <c r="AA201" i="1"/>
  <c r="AB201" i="1" s="1"/>
  <c r="AA202" i="1"/>
  <c r="AB202" i="1" s="1"/>
  <c r="AA203" i="1"/>
  <c r="AB203" i="1" s="1"/>
  <c r="AA204" i="1"/>
  <c r="AB204" i="1" s="1"/>
  <c r="AA205" i="1"/>
  <c r="AB205" i="1" s="1"/>
  <c r="AA206" i="1"/>
  <c r="AB206" i="1" s="1"/>
  <c r="AA207" i="1"/>
  <c r="AB207" i="1" s="1"/>
  <c r="AA208" i="1"/>
  <c r="AB208" i="1" s="1"/>
  <c r="AA209" i="1"/>
  <c r="AB209" i="1" s="1"/>
  <c r="AA210" i="1"/>
  <c r="AB210" i="1" s="1"/>
  <c r="AA211" i="1"/>
  <c r="AB211" i="1" s="1"/>
  <c r="AA212" i="1"/>
  <c r="AB212" i="1" s="1"/>
  <c r="AA213" i="1"/>
  <c r="AB213" i="1" s="1"/>
  <c r="AA214" i="1"/>
  <c r="AB214" i="1" s="1"/>
  <c r="AA215" i="1"/>
  <c r="AB215" i="1" s="1"/>
  <c r="AA216" i="1"/>
  <c r="AB216" i="1" s="1"/>
  <c r="AA217" i="1"/>
  <c r="AB217" i="1" s="1"/>
  <c r="AA218" i="1"/>
  <c r="AB218" i="1" s="1"/>
  <c r="AA219" i="1"/>
  <c r="AB219" i="1" s="1"/>
  <c r="AA220" i="1"/>
  <c r="AB220" i="1" s="1"/>
  <c r="AA221" i="1"/>
  <c r="AB221" i="1" s="1"/>
  <c r="AA222" i="1"/>
  <c r="AB222" i="1" s="1"/>
  <c r="AA223" i="1"/>
  <c r="AB223" i="1" s="1"/>
  <c r="AA224" i="1"/>
  <c r="AB224" i="1" s="1"/>
  <c r="AA225" i="1"/>
  <c r="AB225" i="1" s="1"/>
  <c r="AA226" i="1"/>
  <c r="AB226" i="1" s="1"/>
  <c r="AA227" i="1"/>
  <c r="AB227" i="1" s="1"/>
  <c r="AA228" i="1"/>
  <c r="AB228" i="1" s="1"/>
  <c r="AA229" i="1"/>
  <c r="AB229" i="1" s="1"/>
  <c r="AA230" i="1"/>
  <c r="AB230" i="1" s="1"/>
  <c r="AA231" i="1"/>
  <c r="AB231" i="1" s="1"/>
  <c r="AA232" i="1"/>
  <c r="AB232" i="1" s="1"/>
  <c r="AA233" i="1"/>
  <c r="AB233" i="1" s="1"/>
  <c r="AA234" i="1"/>
  <c r="AB234" i="1" s="1"/>
  <c r="AA235" i="1"/>
  <c r="AB235" i="1" s="1"/>
  <c r="AA236" i="1"/>
  <c r="AB236" i="1" s="1"/>
  <c r="AA237" i="1"/>
  <c r="AB237" i="1" s="1"/>
  <c r="AA238" i="1"/>
  <c r="AB238" i="1" s="1"/>
  <c r="AA239" i="1"/>
  <c r="AB239" i="1" s="1"/>
  <c r="AA240" i="1"/>
  <c r="AB240" i="1" s="1"/>
  <c r="AA241" i="1"/>
  <c r="AB241" i="1" s="1"/>
  <c r="AA242" i="1"/>
  <c r="AB242" i="1" s="1"/>
  <c r="AA243" i="1"/>
  <c r="AB243" i="1" s="1"/>
  <c r="AA244" i="1"/>
  <c r="AB244" i="1" s="1"/>
  <c r="AA245" i="1"/>
  <c r="AB245" i="1" s="1"/>
  <c r="AA246" i="1"/>
  <c r="AB246" i="1" s="1"/>
  <c r="AA247" i="1"/>
  <c r="AB247" i="1" s="1"/>
  <c r="AA248" i="1"/>
  <c r="AB248" i="1" s="1"/>
  <c r="AA249" i="1"/>
  <c r="AB249" i="1" s="1"/>
  <c r="AA250" i="1"/>
  <c r="AB250" i="1" s="1"/>
  <c r="AA251" i="1"/>
  <c r="AB251" i="1" s="1"/>
  <c r="AA252" i="1"/>
  <c r="AB252" i="1" s="1"/>
  <c r="AA253" i="1"/>
  <c r="AB253" i="1" s="1"/>
  <c r="AA254" i="1"/>
  <c r="AB254" i="1" s="1"/>
  <c r="AA255" i="1"/>
  <c r="AB255" i="1" s="1"/>
  <c r="AA256" i="1"/>
  <c r="AB256" i="1" s="1"/>
  <c r="AA257" i="1"/>
  <c r="AB257" i="1" s="1"/>
  <c r="AA258" i="1"/>
  <c r="AB258" i="1" s="1"/>
  <c r="AA259" i="1"/>
  <c r="AB259" i="1" s="1"/>
  <c r="AA260" i="1"/>
  <c r="AB260" i="1" s="1"/>
  <c r="AA261" i="1"/>
  <c r="AB261" i="1" s="1"/>
  <c r="AA262" i="1"/>
  <c r="AB262" i="1" s="1"/>
  <c r="AA263" i="1"/>
  <c r="AB263" i="1" s="1"/>
  <c r="AA264" i="1"/>
  <c r="AB264" i="1" s="1"/>
  <c r="AA265" i="1"/>
  <c r="AB265" i="1" s="1"/>
  <c r="AA266" i="1"/>
  <c r="AB266" i="1" s="1"/>
  <c r="AA267" i="1"/>
  <c r="AB267" i="1" s="1"/>
  <c r="AA268" i="1"/>
  <c r="AB268" i="1" s="1"/>
  <c r="AA269" i="1"/>
  <c r="AB269" i="1" s="1"/>
  <c r="AA270" i="1"/>
  <c r="AB270" i="1" s="1"/>
  <c r="AA271" i="1"/>
  <c r="AB271" i="1" s="1"/>
  <c r="AA272" i="1"/>
  <c r="AB272" i="1" s="1"/>
  <c r="AA273" i="1"/>
  <c r="AB273" i="1" s="1"/>
  <c r="AA274" i="1"/>
  <c r="AB274" i="1" s="1"/>
  <c r="AA275" i="1"/>
  <c r="AB275" i="1" s="1"/>
  <c r="AA276" i="1"/>
  <c r="AB276" i="1" s="1"/>
  <c r="AA277" i="1"/>
  <c r="AB277" i="1" s="1"/>
  <c r="AA278" i="1"/>
  <c r="AB278" i="1" s="1"/>
  <c r="AA279" i="1"/>
  <c r="AB279" i="1" s="1"/>
  <c r="AA280" i="1"/>
  <c r="AB280" i="1" s="1"/>
  <c r="AA281" i="1"/>
  <c r="AB281" i="1" s="1"/>
  <c r="AA282" i="1"/>
  <c r="AB282" i="1" s="1"/>
  <c r="AA283" i="1"/>
  <c r="AB283" i="1" s="1"/>
  <c r="AA284" i="1"/>
  <c r="AB284" i="1" s="1"/>
  <c r="AA285" i="1"/>
  <c r="AB285" i="1" s="1"/>
  <c r="AA286" i="1"/>
  <c r="AB286" i="1" s="1"/>
  <c r="AA287" i="1"/>
  <c r="AB287" i="1" s="1"/>
  <c r="AA288" i="1"/>
  <c r="AB288" i="1" s="1"/>
  <c r="AA289" i="1"/>
  <c r="AB289" i="1" s="1"/>
  <c r="AA290" i="1"/>
  <c r="AB290" i="1" s="1"/>
  <c r="AA291" i="1"/>
  <c r="AB291" i="1" s="1"/>
  <c r="AA292" i="1"/>
  <c r="AB292" i="1" s="1"/>
  <c r="AA293" i="1"/>
  <c r="AB293" i="1" s="1"/>
  <c r="AA294" i="1"/>
  <c r="AB294" i="1" s="1"/>
  <c r="AA295" i="1"/>
  <c r="AB295" i="1" s="1"/>
  <c r="AA296" i="1"/>
  <c r="AB296" i="1" s="1"/>
  <c r="AA297" i="1"/>
  <c r="AB297" i="1" s="1"/>
  <c r="AA298" i="1"/>
  <c r="AB298" i="1" s="1"/>
  <c r="AA299" i="1"/>
  <c r="AB299" i="1" s="1"/>
  <c r="AA300" i="1"/>
  <c r="AB300" i="1" s="1"/>
  <c r="AA301" i="1"/>
  <c r="AB301" i="1" s="1"/>
  <c r="AA302" i="1"/>
  <c r="AB302" i="1" s="1"/>
  <c r="AA303" i="1"/>
  <c r="AB303" i="1" s="1"/>
  <c r="AA304" i="1"/>
  <c r="AB304" i="1" s="1"/>
  <c r="AA305" i="1"/>
  <c r="AB305" i="1" s="1"/>
  <c r="AA306" i="1"/>
  <c r="AB306" i="1" s="1"/>
  <c r="AA307" i="1"/>
  <c r="AB307" i="1" s="1"/>
  <c r="AA308" i="1"/>
  <c r="AB308" i="1" s="1"/>
  <c r="AA309" i="1"/>
  <c r="AB309" i="1" s="1"/>
  <c r="AA310" i="1"/>
  <c r="AB310" i="1" s="1"/>
  <c r="AA311" i="1"/>
  <c r="AB311" i="1" s="1"/>
  <c r="AA312" i="1"/>
  <c r="AB312" i="1" s="1"/>
  <c r="AA313" i="1"/>
  <c r="AB313" i="1" s="1"/>
  <c r="AA314" i="1"/>
  <c r="AB314" i="1" s="1"/>
  <c r="AA315" i="1"/>
  <c r="AB315" i="1" s="1"/>
  <c r="AA316" i="1"/>
  <c r="AB316" i="1" s="1"/>
  <c r="AA317" i="1"/>
  <c r="AB317" i="1" s="1"/>
  <c r="AA318" i="1"/>
  <c r="AB318" i="1" s="1"/>
  <c r="AA319" i="1"/>
  <c r="AB319" i="1" s="1"/>
  <c r="AA320" i="1"/>
  <c r="AB320" i="1" s="1"/>
  <c r="AA321" i="1"/>
  <c r="AB321" i="1" s="1"/>
  <c r="AA322" i="1"/>
  <c r="AB322" i="1" s="1"/>
  <c r="AA323" i="1"/>
  <c r="AB323" i="1" s="1"/>
  <c r="AA324" i="1"/>
  <c r="AB324" i="1" s="1"/>
  <c r="AA325" i="1"/>
  <c r="AB325" i="1" s="1"/>
  <c r="AA326" i="1"/>
  <c r="AB326" i="1" s="1"/>
  <c r="AA327" i="1"/>
  <c r="AB327" i="1" s="1"/>
  <c r="AA328" i="1"/>
  <c r="AB328" i="1" s="1"/>
  <c r="AA329" i="1"/>
  <c r="AB329" i="1" s="1"/>
  <c r="AA330" i="1"/>
  <c r="AB330" i="1" s="1"/>
  <c r="AA331" i="1"/>
  <c r="AB331" i="1" s="1"/>
  <c r="AA332" i="1"/>
  <c r="AB332" i="1" s="1"/>
  <c r="AA333" i="1"/>
  <c r="AB333" i="1" s="1"/>
  <c r="AA334" i="1"/>
  <c r="AB334" i="1" s="1"/>
  <c r="AA335" i="1"/>
  <c r="AB335" i="1" s="1"/>
  <c r="AA336" i="1"/>
  <c r="AB336" i="1" s="1"/>
  <c r="AA337" i="1"/>
  <c r="AB337" i="1" s="1"/>
  <c r="AA338" i="1"/>
  <c r="AB338" i="1" s="1"/>
  <c r="AA339" i="1"/>
  <c r="AB339" i="1" s="1"/>
  <c r="AA340" i="1"/>
  <c r="AB340" i="1" s="1"/>
  <c r="AA341" i="1"/>
  <c r="AB341" i="1" s="1"/>
  <c r="AA342" i="1"/>
  <c r="AB342" i="1" s="1"/>
  <c r="AA343" i="1"/>
  <c r="AB343" i="1" s="1"/>
  <c r="AA344" i="1"/>
  <c r="AB344" i="1" s="1"/>
  <c r="AA345" i="1"/>
  <c r="AB345" i="1" s="1"/>
  <c r="AA346" i="1"/>
  <c r="AB346" i="1" s="1"/>
  <c r="AA347" i="1"/>
  <c r="AB347" i="1" s="1"/>
  <c r="AA348" i="1"/>
  <c r="AB348" i="1" s="1"/>
  <c r="AA349" i="1"/>
  <c r="AB349" i="1" s="1"/>
  <c r="AA350" i="1"/>
  <c r="AB350" i="1" s="1"/>
  <c r="AA351" i="1"/>
  <c r="AB351" i="1" s="1"/>
  <c r="AA352" i="1"/>
  <c r="AB352" i="1" s="1"/>
  <c r="AA353" i="1"/>
  <c r="AB353" i="1" s="1"/>
  <c r="AA354" i="1"/>
  <c r="AB354" i="1" s="1"/>
  <c r="AA355" i="1"/>
  <c r="AB355" i="1" s="1"/>
  <c r="AA356" i="1"/>
  <c r="AB356" i="1" s="1"/>
  <c r="AA357" i="1"/>
  <c r="AB357" i="1" s="1"/>
  <c r="AA358" i="1"/>
  <c r="AB358" i="1" s="1"/>
  <c r="AA359" i="1"/>
  <c r="AB359" i="1" s="1"/>
  <c r="AA360" i="1"/>
  <c r="AB360" i="1" s="1"/>
  <c r="AA361" i="1"/>
  <c r="AB361" i="1" s="1"/>
  <c r="AA362" i="1"/>
  <c r="AB362" i="1" s="1"/>
  <c r="AA363" i="1"/>
  <c r="AB363" i="1" s="1"/>
  <c r="AA364" i="1"/>
  <c r="AB364" i="1" s="1"/>
  <c r="AA365" i="1"/>
  <c r="AB365" i="1" s="1"/>
  <c r="AA366" i="1"/>
  <c r="AB366" i="1" s="1"/>
  <c r="AA367" i="1"/>
  <c r="AB367" i="1" s="1"/>
  <c r="AA368" i="1"/>
  <c r="AB368" i="1" s="1"/>
  <c r="AA369" i="1"/>
  <c r="AB369" i="1" s="1"/>
  <c r="AA370" i="1"/>
  <c r="AB370" i="1" s="1"/>
  <c r="AA371" i="1"/>
  <c r="AB371" i="1" s="1"/>
  <c r="AA372" i="1"/>
  <c r="AB372" i="1" s="1"/>
  <c r="AA373" i="1"/>
  <c r="AB373" i="1" s="1"/>
  <c r="AA374" i="1"/>
  <c r="AB374" i="1" s="1"/>
  <c r="AA375" i="1"/>
  <c r="AB375" i="1" s="1"/>
  <c r="AA376" i="1"/>
  <c r="AB376" i="1" s="1"/>
  <c r="AA377" i="1"/>
  <c r="AB377" i="1" s="1"/>
  <c r="AA378" i="1"/>
  <c r="AB378" i="1" s="1"/>
  <c r="AA379" i="1"/>
  <c r="AB379" i="1" s="1"/>
  <c r="AA380" i="1"/>
  <c r="AB380" i="1" s="1"/>
  <c r="AA381" i="1"/>
  <c r="AB381" i="1" s="1"/>
  <c r="AA382" i="1"/>
  <c r="AB382" i="1" s="1"/>
  <c r="AA383" i="1"/>
  <c r="AB383" i="1" s="1"/>
  <c r="AA384" i="1"/>
  <c r="AB384" i="1" s="1"/>
  <c r="AA385" i="1"/>
  <c r="AB385" i="1" s="1"/>
  <c r="AA386" i="1"/>
  <c r="AB386" i="1" s="1"/>
  <c r="AA387" i="1"/>
  <c r="AB387" i="1" s="1"/>
  <c r="AA388" i="1"/>
  <c r="AB388" i="1" s="1"/>
  <c r="AA389" i="1"/>
  <c r="AB389" i="1" s="1"/>
  <c r="AA390" i="1"/>
  <c r="AB390" i="1" s="1"/>
  <c r="AA391" i="1"/>
  <c r="AB391" i="1" s="1"/>
  <c r="AA392" i="1"/>
  <c r="AB392" i="1" s="1"/>
  <c r="AA393" i="1"/>
  <c r="AB393" i="1" s="1"/>
  <c r="AA394" i="1"/>
  <c r="AB394" i="1" s="1"/>
  <c r="AA395" i="1"/>
  <c r="AB395" i="1" s="1"/>
  <c r="AA396" i="1"/>
  <c r="AB396" i="1" s="1"/>
  <c r="AA397" i="1"/>
  <c r="AB397" i="1" s="1"/>
  <c r="AA398" i="1"/>
  <c r="AB398" i="1" s="1"/>
  <c r="AA399" i="1"/>
  <c r="AB399" i="1" s="1"/>
  <c r="AA400" i="1"/>
  <c r="AB400" i="1" s="1"/>
  <c r="AA401" i="1"/>
  <c r="AB401" i="1" s="1"/>
  <c r="AA402" i="1"/>
  <c r="AB402" i="1" s="1"/>
  <c r="AA403" i="1"/>
  <c r="AB403" i="1" s="1"/>
  <c r="AA404" i="1"/>
  <c r="AB404" i="1" s="1"/>
  <c r="AA405" i="1"/>
  <c r="AB405" i="1" s="1"/>
  <c r="AA406" i="1"/>
  <c r="AB406" i="1" s="1"/>
  <c r="AA407" i="1"/>
  <c r="AB407" i="1" s="1"/>
  <c r="AA408" i="1"/>
  <c r="AB408" i="1" s="1"/>
  <c r="AA409" i="1"/>
  <c r="AB409" i="1" s="1"/>
  <c r="AA410" i="1"/>
  <c r="AB410" i="1" s="1"/>
  <c r="AA411" i="1"/>
  <c r="AB411" i="1" s="1"/>
  <c r="AA412" i="1"/>
  <c r="AB412" i="1" s="1"/>
  <c r="AA413" i="1"/>
  <c r="AB413" i="1" s="1"/>
  <c r="AA414" i="1"/>
  <c r="AB414" i="1" s="1"/>
  <c r="AA415" i="1"/>
  <c r="AB415" i="1" s="1"/>
  <c r="AA416" i="1"/>
  <c r="AB416" i="1" s="1"/>
  <c r="AA417" i="1"/>
  <c r="AB417" i="1" s="1"/>
  <c r="AA418" i="1"/>
  <c r="AB418" i="1" s="1"/>
  <c r="AA419" i="1"/>
  <c r="AB419" i="1" s="1"/>
  <c r="AA420" i="1"/>
  <c r="AB420" i="1" s="1"/>
  <c r="AA421" i="1"/>
  <c r="AB421" i="1" s="1"/>
  <c r="AA422" i="1"/>
  <c r="AB422" i="1" s="1"/>
  <c r="AA423" i="1"/>
  <c r="AB423" i="1" s="1"/>
  <c r="AA424" i="1"/>
  <c r="AB424" i="1" s="1"/>
  <c r="AA425" i="1"/>
  <c r="AB425" i="1" s="1"/>
  <c r="AA426" i="1"/>
  <c r="AB426" i="1" s="1"/>
  <c r="AA427" i="1"/>
  <c r="AB427" i="1" s="1"/>
  <c r="AA428" i="1"/>
  <c r="AB428" i="1" s="1"/>
  <c r="AA429" i="1"/>
  <c r="AB429" i="1" s="1"/>
  <c r="AA430" i="1"/>
  <c r="AB430" i="1" s="1"/>
  <c r="AA431" i="1"/>
  <c r="AB431" i="1" s="1"/>
  <c r="AA432" i="1"/>
  <c r="AB432" i="1" s="1"/>
  <c r="AA433" i="1"/>
  <c r="AB433" i="1" s="1"/>
  <c r="AA434" i="1"/>
  <c r="AB434" i="1" s="1"/>
  <c r="AA435" i="1"/>
  <c r="AB435" i="1" s="1"/>
  <c r="AA436" i="1"/>
  <c r="AB436" i="1" s="1"/>
  <c r="AA437" i="1"/>
  <c r="AB437" i="1" s="1"/>
  <c r="AA438" i="1"/>
  <c r="AB438" i="1" s="1"/>
  <c r="AA439" i="1"/>
  <c r="AB439" i="1" s="1"/>
  <c r="AA440" i="1"/>
  <c r="AB440" i="1" s="1"/>
  <c r="AA441" i="1"/>
  <c r="AB441" i="1" s="1"/>
  <c r="AA442" i="1"/>
  <c r="AB442" i="1" s="1"/>
  <c r="AA443" i="1"/>
  <c r="AB443" i="1" s="1"/>
  <c r="AA444" i="1"/>
  <c r="AB444" i="1" s="1"/>
  <c r="AA445" i="1"/>
  <c r="AB445" i="1" s="1"/>
  <c r="AA446" i="1"/>
  <c r="AB446" i="1" s="1"/>
  <c r="AA447" i="1"/>
  <c r="AB447" i="1" s="1"/>
  <c r="AA448" i="1"/>
  <c r="AB448" i="1" s="1"/>
  <c r="AA449" i="1"/>
  <c r="AB449" i="1" s="1"/>
  <c r="AA450" i="1"/>
  <c r="AB450" i="1" s="1"/>
  <c r="AA451" i="1"/>
  <c r="AB451" i="1" s="1"/>
  <c r="AA452" i="1"/>
  <c r="AB452" i="1" s="1"/>
  <c r="AA453" i="1"/>
  <c r="AB453" i="1" s="1"/>
  <c r="AA454" i="1"/>
  <c r="AB454" i="1" s="1"/>
  <c r="AA455" i="1"/>
  <c r="AB455" i="1" s="1"/>
  <c r="AA456" i="1"/>
  <c r="AB456" i="1" s="1"/>
  <c r="AA457" i="1"/>
  <c r="AB457" i="1" s="1"/>
  <c r="AA458" i="1"/>
  <c r="AB458" i="1" s="1"/>
  <c r="AA459" i="1"/>
  <c r="AB459" i="1" s="1"/>
  <c r="AA460" i="1"/>
  <c r="AB460" i="1" s="1"/>
  <c r="AA461" i="1"/>
  <c r="AB461" i="1" s="1"/>
  <c r="AA462" i="1"/>
  <c r="AB462" i="1" s="1"/>
  <c r="AA463" i="1"/>
  <c r="AB463" i="1" s="1"/>
  <c r="AA464" i="1"/>
  <c r="AB464" i="1" s="1"/>
  <c r="AA465" i="1"/>
  <c r="AB465" i="1" s="1"/>
  <c r="AA466" i="1"/>
  <c r="AB466" i="1" s="1"/>
  <c r="AA467" i="1"/>
  <c r="AB467" i="1" s="1"/>
  <c r="AA468" i="1"/>
  <c r="AB468" i="1" s="1"/>
  <c r="AA469" i="1"/>
  <c r="AB469" i="1" s="1"/>
  <c r="AA470" i="1"/>
  <c r="AB470" i="1" s="1"/>
  <c r="AA471" i="1"/>
  <c r="AB471" i="1" s="1"/>
  <c r="AA472" i="1"/>
  <c r="AB472" i="1" s="1"/>
  <c r="AA473" i="1"/>
  <c r="AB473" i="1" s="1"/>
  <c r="AA474" i="1"/>
  <c r="AB474" i="1" s="1"/>
  <c r="AA475" i="1"/>
  <c r="AB475" i="1" s="1"/>
  <c r="AA476" i="1"/>
  <c r="AB476" i="1" s="1"/>
  <c r="AA477" i="1"/>
  <c r="AB477" i="1" s="1"/>
  <c r="AA478" i="1"/>
  <c r="AB478" i="1" s="1"/>
  <c r="AA479" i="1"/>
  <c r="AB479" i="1" s="1"/>
  <c r="AA480" i="1"/>
  <c r="AB480" i="1" s="1"/>
  <c r="AA481" i="1"/>
  <c r="AB481" i="1" s="1"/>
  <c r="AA482" i="1"/>
  <c r="AB482" i="1" s="1"/>
  <c r="AA483" i="1"/>
  <c r="AB483" i="1" s="1"/>
  <c r="AA484" i="1"/>
  <c r="AB484" i="1" s="1"/>
  <c r="AA485" i="1"/>
  <c r="AB485" i="1" s="1"/>
  <c r="AA486" i="1"/>
  <c r="AB486" i="1" s="1"/>
  <c r="AA487" i="1"/>
  <c r="AB487" i="1" s="1"/>
  <c r="AA488" i="1"/>
  <c r="AB488" i="1" s="1"/>
  <c r="AA489" i="1"/>
  <c r="AB489" i="1" s="1"/>
  <c r="AA490" i="1"/>
  <c r="AB490" i="1" s="1"/>
  <c r="AA491" i="1"/>
  <c r="AB491" i="1" s="1"/>
  <c r="AA492" i="1"/>
  <c r="AB492" i="1" s="1"/>
  <c r="AA493" i="1"/>
  <c r="AB493" i="1" s="1"/>
  <c r="AA494" i="1"/>
  <c r="AB494" i="1" s="1"/>
  <c r="AA495" i="1"/>
  <c r="AB495" i="1" s="1"/>
  <c r="AA496" i="1"/>
  <c r="AB496" i="1" s="1"/>
  <c r="AA497" i="1"/>
  <c r="AB497" i="1" s="1"/>
  <c r="AA498" i="1"/>
  <c r="AB498" i="1" s="1"/>
  <c r="AA499" i="1"/>
  <c r="AB499" i="1" s="1"/>
  <c r="AA500" i="1"/>
  <c r="AB500" i="1" s="1"/>
  <c r="AA501" i="1"/>
  <c r="AB501" i="1" s="1"/>
  <c r="C513" i="1"/>
  <c r="C516" i="1"/>
  <c r="C519" i="1"/>
  <c r="C523" i="1"/>
  <c r="S2" i="1" a="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C521" i="1"/>
  <c r="Q53" i="1"/>
  <c r="AE53" i="1" s="1"/>
  <c r="AF53" i="1" s="1"/>
  <c r="Q223" i="1"/>
  <c r="AE223" i="1" s="1"/>
  <c r="AF223" i="1" s="1"/>
  <c r="Q405" i="1"/>
  <c r="AE405" i="1" s="1"/>
  <c r="AF405" i="1" s="1"/>
  <c r="Q22" i="1"/>
  <c r="AE22" i="1" s="1"/>
  <c r="AF22" i="1" s="1"/>
  <c r="Q422" i="1"/>
  <c r="AE422" i="1" s="1"/>
  <c r="AF422" i="1" s="1"/>
  <c r="Q85" i="1"/>
  <c r="AE85" i="1" s="1"/>
  <c r="AF85" i="1" s="1"/>
  <c r="Q54" i="1"/>
  <c r="AE54" i="1" s="1"/>
  <c r="AF54" i="1" s="1"/>
  <c r="Q118" i="1"/>
  <c r="AE118" i="1" s="1"/>
  <c r="AF118" i="1" s="1"/>
  <c r="Q358" i="1"/>
  <c r="AE358" i="1" s="1"/>
  <c r="AF358" i="1" s="1"/>
  <c r="Q480" i="1"/>
  <c r="AE480" i="1" s="1"/>
  <c r="AF480" i="1" s="1"/>
  <c r="Q67" i="1"/>
  <c r="AE67" i="1" s="1"/>
  <c r="AF67" i="1" s="1"/>
  <c r="Q201" i="1"/>
  <c r="AE201" i="1" s="1"/>
  <c r="AF201" i="1" s="1"/>
  <c r="Q217" i="1"/>
  <c r="AE217" i="1" s="1"/>
  <c r="AF217" i="1" s="1"/>
  <c r="Q408" i="1"/>
  <c r="AE408" i="1" s="1"/>
  <c r="AF408" i="1" s="1"/>
  <c r="Q285" i="1"/>
  <c r="AE285" i="1" s="1"/>
  <c r="AF285" i="1" s="1"/>
  <c r="Q86" i="1"/>
  <c r="AE86" i="1" s="1"/>
  <c r="AF86" i="1" s="1"/>
  <c r="Q126" i="1"/>
  <c r="AE126" i="1" s="1"/>
  <c r="AF126" i="1" s="1"/>
  <c r="Q400" i="1"/>
  <c r="AE400" i="1" s="1"/>
  <c r="AF400" i="1" s="1"/>
  <c r="Q407" i="1"/>
  <c r="AE407" i="1" s="1"/>
  <c r="AF407" i="1" s="1"/>
  <c r="Q460" i="1"/>
  <c r="AE460" i="1" s="1"/>
  <c r="AF460" i="1" s="1"/>
  <c r="Q155" i="1"/>
  <c r="AE155" i="1" s="1"/>
  <c r="AF155" i="1" s="1"/>
  <c r="Q266" i="1"/>
  <c r="AE266" i="1" s="1"/>
  <c r="AF266" i="1" s="1"/>
  <c r="Q279" i="1"/>
  <c r="AE279" i="1" s="1"/>
  <c r="AF279" i="1" s="1"/>
  <c r="Q442" i="1"/>
  <c r="AE442" i="1" s="1"/>
  <c r="AF442" i="1" s="1"/>
  <c r="Q380" i="1"/>
  <c r="AE380" i="1" s="1"/>
  <c r="AF380" i="1" s="1"/>
  <c r="Q178" i="1"/>
  <c r="AE178" i="1" s="1"/>
  <c r="AF178" i="1" s="1"/>
  <c r="Q313" i="1"/>
  <c r="AE313" i="1" s="1"/>
  <c r="AF313" i="1" s="1"/>
  <c r="Q119" i="1"/>
  <c r="AE119" i="1" s="1"/>
  <c r="AF119" i="1" s="1"/>
  <c r="Q212" i="1"/>
  <c r="Q473" i="1"/>
  <c r="AE473" i="1" s="1"/>
  <c r="AF473" i="1" s="1"/>
  <c r="Q443" i="1"/>
  <c r="AE443" i="1" s="1"/>
  <c r="AF443" i="1" s="1"/>
  <c r="Q237" i="1"/>
  <c r="AE237" i="1" s="1"/>
  <c r="AF237" i="1" s="1"/>
  <c r="Q193" i="1"/>
  <c r="AE193" i="1" s="1"/>
  <c r="AF193" i="1" s="1"/>
  <c r="Q411" i="1"/>
  <c r="AE411" i="1" s="1"/>
  <c r="AF411" i="1" s="1"/>
  <c r="Q445" i="1"/>
  <c r="AE445" i="1" s="1"/>
  <c r="AF445" i="1" s="1"/>
  <c r="Q198" i="1"/>
  <c r="AE198" i="1" s="1"/>
  <c r="AF198" i="1" s="1"/>
  <c r="Q461" i="1"/>
  <c r="AE461" i="1" s="1"/>
  <c r="AF461" i="1" s="1"/>
  <c r="Q147" i="1"/>
  <c r="AE147" i="1" s="1"/>
  <c r="AF147" i="1" s="1"/>
  <c r="Q305" i="1"/>
  <c r="AE305" i="1" s="1"/>
  <c r="AF305" i="1" s="1"/>
  <c r="Q310" i="1"/>
  <c r="AE310" i="1" s="1"/>
  <c r="AF310" i="1" s="1"/>
  <c r="Q110" i="1"/>
  <c r="AE110" i="1" s="1"/>
  <c r="AF110" i="1" s="1"/>
  <c r="Q111" i="1"/>
  <c r="AE111" i="1" s="1"/>
  <c r="AF111" i="1" s="1"/>
  <c r="Q60" i="1"/>
  <c r="AE60" i="1" s="1"/>
  <c r="AF60" i="1" s="1"/>
  <c r="Q446" i="1"/>
  <c r="AE446" i="1" s="1"/>
  <c r="AF446" i="1" s="1"/>
  <c r="Q152" i="1"/>
  <c r="AE152" i="1" s="1"/>
  <c r="AF152" i="1" s="1"/>
  <c r="Q409" i="1"/>
  <c r="AE409" i="1" s="1"/>
  <c r="AF409" i="1" s="1"/>
  <c r="Q12" i="1"/>
  <c r="AE12" i="1" s="1"/>
  <c r="AF12" i="1" s="1"/>
  <c r="Q238" i="1"/>
  <c r="AE238" i="1" s="1"/>
  <c r="AF238" i="1" s="1"/>
  <c r="Q224" i="1"/>
  <c r="AE224" i="1" s="1"/>
  <c r="AF224" i="1" s="1"/>
  <c r="Q487" i="1"/>
  <c r="AE487" i="1" s="1"/>
  <c r="AF487" i="1" s="1"/>
  <c r="Q373" i="1"/>
  <c r="AE373" i="1" s="1"/>
  <c r="AF373" i="1" s="1"/>
  <c r="Q415" i="1"/>
  <c r="AE415" i="1" s="1"/>
  <c r="AF415" i="1" s="1"/>
  <c r="Q234" i="1"/>
  <c r="AE234" i="1" s="1"/>
  <c r="AF234" i="1" s="1"/>
  <c r="Q210" i="1"/>
  <c r="AE210" i="1" s="1"/>
  <c r="AF210" i="1" s="1"/>
  <c r="Q326" i="1"/>
  <c r="AE326" i="1" s="1"/>
  <c r="AF326" i="1" s="1"/>
  <c r="Q306" i="1"/>
  <c r="AE306" i="1" s="1"/>
  <c r="AF306" i="1" s="1"/>
  <c r="Q454" i="1"/>
  <c r="AE454" i="1" s="1"/>
  <c r="AF454" i="1" s="1"/>
  <c r="Q462" i="1"/>
  <c r="AE462" i="1" s="1"/>
  <c r="AF462" i="1" s="1"/>
  <c r="Q120" i="1"/>
  <c r="AE120" i="1" s="1"/>
  <c r="AF120" i="1" s="1"/>
  <c r="Q171" i="1"/>
  <c r="AE171" i="1" s="1"/>
  <c r="AF171" i="1" s="1"/>
  <c r="Q330" i="1"/>
  <c r="AE330" i="1" s="1"/>
  <c r="AF330" i="1" s="1"/>
  <c r="Q116" i="1"/>
  <c r="AE116" i="1" s="1"/>
  <c r="AF116" i="1" s="1"/>
  <c r="Q300" i="1"/>
  <c r="AE300" i="1" s="1"/>
  <c r="AF300" i="1" s="1"/>
  <c r="Q366" i="1"/>
  <c r="AE366" i="1" s="1"/>
  <c r="AF366" i="1" s="1"/>
  <c r="Q264" i="1"/>
  <c r="AE264" i="1" s="1"/>
  <c r="AF264" i="1" s="1"/>
  <c r="Q220" i="1"/>
  <c r="AE220" i="1" s="1"/>
  <c r="AF220" i="1" s="1"/>
  <c r="Q160" i="1"/>
  <c r="AE160" i="1" s="1"/>
  <c r="AF160" i="1" s="1"/>
  <c r="Q62" i="1"/>
  <c r="AE62" i="1" s="1"/>
  <c r="AF62" i="1" s="1"/>
  <c r="Q26" i="1"/>
  <c r="AE26" i="1" s="1"/>
  <c r="AF26" i="1" s="1"/>
  <c r="Q138" i="1"/>
  <c r="AE138" i="1" s="1"/>
  <c r="AF138" i="1" s="1"/>
  <c r="Q352" i="1"/>
  <c r="AE352" i="1" s="1"/>
  <c r="AF352" i="1" s="1"/>
  <c r="Q45" i="1"/>
  <c r="AE45" i="1" s="1"/>
  <c r="AF45" i="1" s="1"/>
  <c r="Q353" i="1"/>
  <c r="AE353" i="1" s="1"/>
  <c r="AF353" i="1" s="1"/>
  <c r="Q13" i="1"/>
  <c r="AE13" i="1" s="1"/>
  <c r="AF13" i="1" s="1"/>
  <c r="Q367" i="1"/>
  <c r="AE367" i="1" s="1"/>
  <c r="AF367" i="1" s="1"/>
  <c r="Q121" i="1"/>
  <c r="AE121" i="1" s="1"/>
  <c r="AF121" i="1" s="1"/>
  <c r="Q449" i="1"/>
  <c r="AE449" i="1" s="1"/>
  <c r="AF449" i="1" s="1"/>
  <c r="Q151" i="1"/>
  <c r="AE151" i="1" s="1"/>
  <c r="AF151" i="1" s="1"/>
  <c r="Q318" i="1"/>
  <c r="AE318" i="1" s="1"/>
  <c r="AF318" i="1" s="1"/>
  <c r="Q28" i="1"/>
  <c r="AE28" i="1" s="1"/>
  <c r="AF28" i="1" s="1"/>
  <c r="Q156" i="1"/>
  <c r="AE156" i="1" s="1"/>
  <c r="AF156" i="1" s="1"/>
  <c r="Q307" i="1"/>
  <c r="AE307" i="1" s="1"/>
  <c r="AF307" i="1" s="1"/>
  <c r="Q230" i="1"/>
  <c r="AE230" i="1" s="1"/>
  <c r="AF230" i="1" s="1"/>
  <c r="Q474" i="1"/>
  <c r="AE474" i="1" s="1"/>
  <c r="AF474" i="1" s="1"/>
  <c r="Q335" i="1"/>
  <c r="AE335" i="1" s="1"/>
  <c r="AF335" i="1" s="1"/>
  <c r="Q481" i="1"/>
  <c r="AE481" i="1" s="1"/>
  <c r="AF481" i="1" s="1"/>
  <c r="Q187" i="1"/>
  <c r="AE187" i="1" s="1"/>
  <c r="AF187" i="1" s="1"/>
  <c r="Q139" i="1"/>
  <c r="AE139" i="1" s="1"/>
  <c r="AF139" i="1" s="1"/>
  <c r="Q482" i="1"/>
  <c r="AE482" i="1" s="1"/>
  <c r="AF482" i="1" s="1"/>
  <c r="Q291" i="1"/>
  <c r="AE291" i="1" s="1"/>
  <c r="AF291" i="1" s="1"/>
  <c r="Q74" i="1"/>
  <c r="AE74" i="1" s="1"/>
  <c r="AF74" i="1" s="1"/>
  <c r="Q381" i="1"/>
  <c r="AE381" i="1" s="1"/>
  <c r="AF381" i="1" s="1"/>
  <c r="Q7" i="1"/>
  <c r="AE7" i="1" s="1"/>
  <c r="AF7" i="1" s="1"/>
  <c r="Q63" i="1"/>
  <c r="AE63" i="1" s="1"/>
  <c r="AF63" i="1" s="1"/>
  <c r="Q167" i="1"/>
  <c r="AE167" i="1" s="1"/>
  <c r="AF167" i="1" s="1"/>
  <c r="Q154" i="1"/>
  <c r="AE154" i="1" s="1"/>
  <c r="AF154" i="1" s="1"/>
  <c r="Q194" i="1"/>
  <c r="AE194" i="1" s="1"/>
  <c r="AF194" i="1" s="1"/>
  <c r="Q143" i="1"/>
  <c r="AE143" i="1" s="1"/>
  <c r="AF143" i="1" s="1"/>
  <c r="Q286" i="1"/>
  <c r="AE286" i="1" s="1"/>
  <c r="AF286" i="1" s="1"/>
  <c r="Q183" i="1"/>
  <c r="AE183" i="1" s="1"/>
  <c r="AF183" i="1" s="1"/>
  <c r="Q72" i="1"/>
  <c r="AE72" i="1" s="1"/>
  <c r="AF72" i="1" s="1"/>
  <c r="Q298" i="1"/>
  <c r="AE298" i="1" s="1"/>
  <c r="AF298" i="1" s="1"/>
  <c r="Q64" i="1"/>
  <c r="AE64" i="1" s="1"/>
  <c r="AF64" i="1" s="1"/>
  <c r="Q359" i="1"/>
  <c r="AE359" i="1" s="1"/>
  <c r="AF359" i="1" s="1"/>
  <c r="Q164" i="1"/>
  <c r="AE164" i="1" s="1"/>
  <c r="AF164" i="1" s="1"/>
  <c r="Q221" i="1"/>
  <c r="AE221" i="1" s="1"/>
  <c r="AF221" i="1" s="1"/>
  <c r="Q240" i="1"/>
  <c r="AE240" i="1" s="1"/>
  <c r="AF240" i="1" s="1"/>
  <c r="Q280" i="1"/>
  <c r="AE280" i="1" s="1"/>
  <c r="AF280" i="1" s="1"/>
  <c r="Q401" i="1"/>
  <c r="AE401" i="1" s="1"/>
  <c r="AF401" i="1" s="1"/>
  <c r="Q397" i="1"/>
  <c r="AE397" i="1" s="1"/>
  <c r="AF397" i="1" s="1"/>
  <c r="Q140" i="1"/>
  <c r="AE140" i="1" s="1"/>
  <c r="AF140" i="1" s="1"/>
  <c r="Q131" i="1"/>
  <c r="AE131" i="1" s="1"/>
  <c r="AF131" i="1" s="1"/>
  <c r="Q55" i="1"/>
  <c r="AE55" i="1" s="1"/>
  <c r="AF55" i="1" s="1"/>
  <c r="Q14" i="1"/>
  <c r="AE14" i="1" s="1"/>
  <c r="AF14" i="1" s="1"/>
  <c r="Q165" i="1"/>
  <c r="AE165" i="1" s="1"/>
  <c r="AF165" i="1" s="1"/>
  <c r="Q135" i="1"/>
  <c r="AE135" i="1" s="1"/>
  <c r="AF135" i="1" s="1"/>
  <c r="Q132" i="1"/>
  <c r="AE132" i="1" s="1"/>
  <c r="AF132" i="1" s="1"/>
  <c r="Q501" i="1"/>
  <c r="AE501" i="1" s="1"/>
  <c r="AF501" i="1" s="1"/>
  <c r="Q488" i="1"/>
  <c r="AE488" i="1" s="1"/>
  <c r="AF488" i="1" s="1"/>
  <c r="Q204" i="1"/>
  <c r="AE204" i="1" s="1"/>
  <c r="AF204" i="1" s="1"/>
  <c r="Q270" i="1"/>
  <c r="AE270" i="1" s="1"/>
  <c r="AF270" i="1" s="1"/>
  <c r="Q427" i="1"/>
  <c r="AE427" i="1" s="1"/>
  <c r="AF427" i="1" s="1"/>
  <c r="Q432" i="1"/>
  <c r="AE432" i="1" s="1"/>
  <c r="AF432" i="1" s="1"/>
  <c r="Q95" i="1"/>
  <c r="AE95" i="1" s="1"/>
  <c r="AF95" i="1" s="1"/>
  <c r="Q360" i="1"/>
  <c r="AE360" i="1" s="1"/>
  <c r="AF360" i="1" s="1"/>
  <c r="Q43" i="1"/>
  <c r="AE43" i="1" s="1"/>
  <c r="AF43" i="1" s="1"/>
  <c r="Q227" i="1"/>
  <c r="AE227" i="1" s="1"/>
  <c r="AF227" i="1" s="1"/>
  <c r="Q127" i="1"/>
  <c r="AE127" i="1" s="1"/>
  <c r="AF127" i="1" s="1"/>
  <c r="Q304" i="1"/>
  <c r="AE304" i="1" s="1"/>
  <c r="AF304" i="1" s="1"/>
  <c r="Q361" i="1"/>
  <c r="AE361" i="1" s="1"/>
  <c r="AF361" i="1" s="1"/>
  <c r="Q24" i="1"/>
  <c r="AE24" i="1" s="1"/>
  <c r="AF24" i="1" s="1"/>
  <c r="Q51" i="1"/>
  <c r="AE51" i="1" s="1"/>
  <c r="AF51" i="1" s="1"/>
  <c r="Q153" i="1"/>
  <c r="AE153" i="1" s="1"/>
  <c r="AF153" i="1" s="1"/>
  <c r="Q252" i="1"/>
  <c r="AE252" i="1" s="1"/>
  <c r="AF252" i="1" s="1"/>
  <c r="Q389" i="1"/>
  <c r="AE389" i="1" s="1"/>
  <c r="AF389" i="1" s="1"/>
  <c r="Q41" i="1"/>
  <c r="AE41" i="1" s="1"/>
  <c r="AF41" i="1" s="1"/>
  <c r="Q199" i="1"/>
  <c r="AE199" i="1" s="1"/>
  <c r="AF199" i="1" s="1"/>
  <c r="Q195" i="1"/>
  <c r="AE195" i="1" s="1"/>
  <c r="AF195" i="1" s="1"/>
  <c r="Q202" i="1"/>
  <c r="AE202" i="1" s="1"/>
  <c r="AF202" i="1" s="1"/>
  <c r="Q284" i="1"/>
  <c r="AE284" i="1" s="1"/>
  <c r="AF284" i="1" s="1"/>
  <c r="Q4" i="1"/>
  <c r="AE4" i="1" s="1"/>
  <c r="AF4" i="1" s="1"/>
  <c r="Q106" i="1"/>
  <c r="AE106" i="1" s="1"/>
  <c r="AF106" i="1" s="1"/>
  <c r="Q465" i="1"/>
  <c r="AE465" i="1" s="1"/>
  <c r="AF465" i="1" s="1"/>
  <c r="Q188" i="1"/>
  <c r="AE188" i="1" s="1"/>
  <c r="AF188" i="1" s="1"/>
  <c r="Q388" i="1"/>
  <c r="AE388" i="1" s="1"/>
  <c r="AF388" i="1" s="1"/>
  <c r="Q406" i="1"/>
  <c r="AE406" i="1" s="1"/>
  <c r="AF406" i="1" s="1"/>
  <c r="Q75" i="1"/>
  <c r="AE75" i="1" s="1"/>
  <c r="AF75" i="1" s="1"/>
  <c r="Q186" i="1"/>
  <c r="AE186" i="1" s="1"/>
  <c r="AF186" i="1" s="1"/>
  <c r="Q440" i="1"/>
  <c r="AE440" i="1" s="1"/>
  <c r="AF440" i="1" s="1"/>
  <c r="Q29" i="1"/>
  <c r="AE29" i="1" s="1"/>
  <c r="AF29" i="1" s="1"/>
  <c r="Q311" i="1"/>
  <c r="AE311" i="1" s="1"/>
  <c r="AF311" i="1" s="1"/>
  <c r="Q141" i="1"/>
  <c r="AE141" i="1" s="1"/>
  <c r="AF141" i="1" s="1"/>
  <c r="Q228" i="1"/>
  <c r="AE228" i="1" s="1"/>
  <c r="AF228" i="1" s="1"/>
  <c r="Q447" i="1"/>
  <c r="AE447" i="1" s="1"/>
  <c r="AF447" i="1" s="1"/>
  <c r="Q433" i="1"/>
  <c r="AE433" i="1" s="1"/>
  <c r="AF433" i="1" s="1"/>
  <c r="Q244" i="1"/>
  <c r="AE244" i="1" s="1"/>
  <c r="AF244" i="1" s="1"/>
  <c r="Q213" i="1"/>
  <c r="AE213" i="1" s="1"/>
  <c r="AF213" i="1" s="1"/>
  <c r="Q8" i="1"/>
  <c r="AE8" i="1" s="1"/>
  <c r="AF8" i="1" s="1"/>
  <c r="Q248" i="1"/>
  <c r="AE248" i="1" s="1"/>
  <c r="AF248" i="1" s="1"/>
  <c r="Q301" i="1"/>
  <c r="AE301" i="1" s="1"/>
  <c r="AF301" i="1" s="1"/>
  <c r="Q27" i="1"/>
  <c r="AE27" i="1" s="1"/>
  <c r="AF27" i="1" s="1"/>
  <c r="Q257" i="1"/>
  <c r="AE257" i="1" s="1"/>
  <c r="AF257" i="1" s="1"/>
  <c r="Q357" i="1"/>
  <c r="AE357" i="1" s="1"/>
  <c r="AF357" i="1" s="1"/>
  <c r="Q324" i="1"/>
  <c r="AE324" i="1" s="1"/>
  <c r="AF324" i="1" s="1"/>
  <c r="Q402" i="1"/>
  <c r="AE402" i="1" s="1"/>
  <c r="AF402" i="1" s="1"/>
  <c r="Q287" i="1"/>
  <c r="AE287" i="1" s="1"/>
  <c r="AF287" i="1" s="1"/>
  <c r="Q104" i="1"/>
  <c r="AE104" i="1" s="1"/>
  <c r="AF104" i="1" s="1"/>
  <c r="Q225" i="1"/>
  <c r="AE225" i="1" s="1"/>
  <c r="AF225" i="1" s="1"/>
  <c r="Q23" i="1"/>
  <c r="AE23" i="1" s="1"/>
  <c r="AF23" i="1" s="1"/>
  <c r="Q267" i="1"/>
  <c r="AE267" i="1" s="1"/>
  <c r="AF267" i="1" s="1"/>
  <c r="Q416" i="1"/>
  <c r="AE416" i="1" s="1"/>
  <c r="AF416" i="1" s="1"/>
  <c r="Q468" i="1"/>
  <c r="AE468" i="1" s="1"/>
  <c r="AF468" i="1" s="1"/>
  <c r="Q232" i="1"/>
  <c r="AE232" i="1" s="1"/>
  <c r="AF232" i="1" s="1"/>
  <c r="Q384" i="1"/>
  <c r="AE384" i="1" s="1"/>
  <c r="AF384" i="1" s="1"/>
  <c r="Q48" i="1"/>
  <c r="AE48" i="1" s="1"/>
  <c r="AF48" i="1" s="1"/>
  <c r="Q494" i="1"/>
  <c r="AE494" i="1" s="1"/>
  <c r="AF494" i="1" s="1"/>
  <c r="Q128" i="1"/>
  <c r="AE128" i="1" s="1"/>
  <c r="AF128" i="1" s="1"/>
  <c r="Q368" i="1"/>
  <c r="AE368" i="1" s="1"/>
  <c r="AF368" i="1" s="1"/>
  <c r="Q133" i="1"/>
  <c r="AE133" i="1" s="1"/>
  <c r="AF133" i="1" s="1"/>
  <c r="Q466" i="1"/>
  <c r="AE466" i="1" s="1"/>
  <c r="AF466" i="1" s="1"/>
  <c r="Q215" i="1"/>
  <c r="AE215" i="1" s="1"/>
  <c r="AF215" i="1" s="1"/>
  <c r="Q222" i="1"/>
  <c r="AE222" i="1" s="1"/>
  <c r="AF222" i="1" s="1"/>
  <c r="Q181" i="1"/>
  <c r="AE181" i="1" s="1"/>
  <c r="AF181" i="1" s="1"/>
  <c r="Q319" i="1"/>
  <c r="AE319" i="1" s="1"/>
  <c r="AF319" i="1" s="1"/>
  <c r="Q122" i="1"/>
  <c r="AE122" i="1" s="1"/>
  <c r="AF122" i="1" s="1"/>
  <c r="Q87" i="1"/>
  <c r="AE87" i="1" s="1"/>
  <c r="AF87" i="1" s="1"/>
  <c r="Q455" i="1"/>
  <c r="AE455" i="1" s="1"/>
  <c r="AF455" i="1" s="1"/>
  <c r="Q453" i="1"/>
  <c r="AE453" i="1" s="1"/>
  <c r="AF453" i="1" s="1"/>
  <c r="Q205" i="1"/>
  <c r="AE205" i="1" s="1"/>
  <c r="AF205" i="1" s="1"/>
  <c r="Q66" i="1"/>
  <c r="AE66" i="1" s="1"/>
  <c r="AF66" i="1" s="1"/>
  <c r="Q303" i="1"/>
  <c r="AE303" i="1" s="1"/>
  <c r="AF303" i="1" s="1"/>
  <c r="Q102" i="1"/>
  <c r="AE102" i="1" s="1"/>
  <c r="AF102" i="1" s="1"/>
  <c r="Q158" i="1"/>
  <c r="AE158" i="1" s="1"/>
  <c r="AF158" i="1" s="1"/>
  <c r="Q233" i="1"/>
  <c r="AE233" i="1" s="1"/>
  <c r="AF233" i="1" s="1"/>
  <c r="Q463" i="1"/>
  <c r="AE463" i="1" s="1"/>
  <c r="AF463" i="1" s="1"/>
  <c r="Q88" i="1"/>
  <c r="AE88" i="1" s="1"/>
  <c r="AF88" i="1" s="1"/>
  <c r="Q136" i="1"/>
  <c r="AE136" i="1" s="1"/>
  <c r="AF136" i="1" s="1"/>
  <c r="Q226" i="1"/>
  <c r="AE226" i="1" s="1"/>
  <c r="AF226" i="1" s="1"/>
  <c r="Q242" i="1"/>
  <c r="AE242" i="1" s="1"/>
  <c r="AF242" i="1" s="1"/>
  <c r="Q129" i="1"/>
  <c r="AE129" i="1" s="1"/>
  <c r="AF129" i="1" s="1"/>
  <c r="Q276" i="1"/>
  <c r="AE276" i="1" s="1"/>
  <c r="AF276" i="1" s="1"/>
  <c r="Q412" i="1"/>
  <c r="AE412" i="1" s="1"/>
  <c r="AF412" i="1" s="1"/>
  <c r="Q123" i="1"/>
  <c r="AE123" i="1" s="1"/>
  <c r="AF123" i="1" s="1"/>
  <c r="Q33" i="1"/>
  <c r="AE33" i="1" s="1"/>
  <c r="AF33" i="1" s="1"/>
  <c r="Q382" i="1"/>
  <c r="AE382" i="1" s="1"/>
  <c r="AF382" i="1" s="1"/>
  <c r="Q469" i="1"/>
  <c r="AE469" i="1" s="1"/>
  <c r="AF469" i="1" s="1"/>
  <c r="Q332" i="1"/>
  <c r="AE332" i="1" s="1"/>
  <c r="AF332" i="1" s="1"/>
  <c r="Q495" i="1"/>
  <c r="AE495" i="1" s="1"/>
  <c r="AF495" i="1" s="1"/>
  <c r="Q92" i="1"/>
  <c r="AE92" i="1" s="1"/>
  <c r="AF92" i="1" s="1"/>
  <c r="Q9" i="1"/>
  <c r="AE9" i="1" s="1"/>
  <c r="AF9" i="1" s="1"/>
  <c r="Q309" i="1"/>
  <c r="AE309" i="1" s="1"/>
  <c r="AF309" i="1" s="1"/>
  <c r="Q390" i="1"/>
  <c r="AE390" i="1" s="1"/>
  <c r="AF390" i="1" s="1"/>
  <c r="Q362" i="1"/>
  <c r="AE362" i="1" s="1"/>
  <c r="AF362" i="1" s="1"/>
  <c r="Q292" i="1"/>
  <c r="AE292" i="1" s="1"/>
  <c r="AF292" i="1" s="1"/>
  <c r="Q249" i="1"/>
  <c r="AE249" i="1" s="1"/>
  <c r="AF249" i="1" s="1"/>
  <c r="Q399" i="1"/>
  <c r="AE399" i="1" s="1"/>
  <c r="AF399" i="1" s="1"/>
  <c r="Q196" i="1"/>
  <c r="AE196" i="1" s="1"/>
  <c r="AF196" i="1" s="1"/>
  <c r="Q214" i="1"/>
  <c r="AE214" i="1" s="1"/>
  <c r="AF214" i="1" s="1"/>
  <c r="Q363" i="1"/>
  <c r="AE363" i="1" s="1"/>
  <c r="AF363" i="1" s="1"/>
  <c r="Q113" i="1"/>
  <c r="AE113" i="1" s="1"/>
  <c r="AF113" i="1" s="1"/>
  <c r="Q206" i="1"/>
  <c r="AE206" i="1" s="1"/>
  <c r="AF206" i="1" s="1"/>
  <c r="Q97" i="1"/>
  <c r="AE97" i="1" s="1"/>
  <c r="AF97" i="1" s="1"/>
  <c r="Q144" i="1"/>
  <c r="AE144" i="1" s="1"/>
  <c r="AF144" i="1" s="1"/>
  <c r="Q320" i="1"/>
  <c r="AE320" i="1" s="1"/>
  <c r="AF320" i="1" s="1"/>
  <c r="Q70" i="1"/>
  <c r="AE70" i="1" s="1"/>
  <c r="AF70" i="1" s="1"/>
  <c r="Q354" i="1"/>
  <c r="AE354" i="1" s="1"/>
  <c r="AF354" i="1" s="1"/>
  <c r="Q262" i="1"/>
  <c r="AE262" i="1" s="1"/>
  <c r="AF262" i="1" s="1"/>
  <c r="Q57" i="1"/>
  <c r="AE57" i="1" s="1"/>
  <c r="AF57" i="1" s="1"/>
  <c r="Q236" i="1"/>
  <c r="AE236" i="1" s="1"/>
  <c r="AF236" i="1" s="1"/>
  <c r="Q189" i="1"/>
  <c r="AE189" i="1" s="1"/>
  <c r="AF189" i="1" s="1"/>
  <c r="Q341" i="1"/>
  <c r="AE341" i="1" s="1"/>
  <c r="AF341" i="1" s="1"/>
  <c r="Q450" i="1"/>
  <c r="AE450" i="1" s="1"/>
  <c r="AF450" i="1" s="1"/>
  <c r="Q203" i="1"/>
  <c r="AE203" i="1" s="1"/>
  <c r="AF203" i="1" s="1"/>
  <c r="Q255" i="1"/>
  <c r="AE255" i="1" s="1"/>
  <c r="AF255" i="1" s="1"/>
  <c r="Q124" i="1"/>
  <c r="AE124" i="1" s="1"/>
  <c r="AF124" i="1" s="1"/>
  <c r="Q125" i="1"/>
  <c r="AE125" i="1" s="1"/>
  <c r="AF125" i="1" s="1"/>
  <c r="Q105" i="1"/>
  <c r="AE105" i="1" s="1"/>
  <c r="AF105" i="1" s="1"/>
  <c r="Q437" i="1"/>
  <c r="AE437" i="1" s="1"/>
  <c r="AF437" i="1" s="1"/>
  <c r="Q107" i="1"/>
  <c r="AE107" i="1" s="1"/>
  <c r="AF107" i="1" s="1"/>
  <c r="Q269" i="1"/>
  <c r="AE269" i="1" s="1"/>
  <c r="AF269" i="1" s="1"/>
  <c r="Q15" i="1"/>
  <c r="AE15" i="1" s="1"/>
  <c r="AF15" i="1" s="1"/>
  <c r="Q40" i="1"/>
  <c r="AE40" i="1" s="1"/>
  <c r="AF40" i="1" s="1"/>
  <c r="Q25" i="1"/>
  <c r="AE25" i="1" s="1"/>
  <c r="AF25" i="1" s="1"/>
  <c r="Q325" i="1"/>
  <c r="AE325" i="1" s="1"/>
  <c r="AF325" i="1" s="1"/>
  <c r="Q19" i="1"/>
  <c r="AE19" i="1" s="1"/>
  <c r="AF19" i="1" s="1"/>
  <c r="Q56" i="1"/>
  <c r="AE56" i="1" s="1"/>
  <c r="AF56" i="1" s="1"/>
  <c r="Q327" i="1"/>
  <c r="AE327" i="1" s="1"/>
  <c r="AF327" i="1" s="1"/>
  <c r="Q207" i="1"/>
  <c r="AE207" i="1" s="1"/>
  <c r="AF207" i="1" s="1"/>
  <c r="Q83" i="1"/>
  <c r="AE83" i="1" s="1"/>
  <c r="AF83" i="1" s="1"/>
  <c r="Q364" i="1"/>
  <c r="AE364" i="1" s="1"/>
  <c r="AF364" i="1" s="1"/>
  <c r="Q103" i="1"/>
  <c r="AE103" i="1" s="1"/>
  <c r="AF103" i="1" s="1"/>
  <c r="Q35" i="1"/>
  <c r="AE35" i="1" s="1"/>
  <c r="AF35" i="1" s="1"/>
  <c r="Q317" i="1"/>
  <c r="AE317" i="1" s="1"/>
  <c r="AF317" i="1" s="1"/>
  <c r="Q296" i="1"/>
  <c r="AE296" i="1" s="1"/>
  <c r="AF296" i="1" s="1"/>
  <c r="Q30" i="1"/>
  <c r="AE30" i="1" s="1"/>
  <c r="AF30" i="1" s="1"/>
  <c r="Q182" i="1"/>
  <c r="AE182" i="1" s="1"/>
  <c r="AF182" i="1" s="1"/>
  <c r="Q333" i="1"/>
  <c r="AE333" i="1" s="1"/>
  <c r="AF333" i="1" s="1"/>
  <c r="Q108" i="1"/>
  <c r="AE108" i="1" s="1"/>
  <c r="AF108" i="1" s="1"/>
  <c r="Q274" i="1"/>
  <c r="AE274" i="1" s="1"/>
  <c r="AF274" i="1" s="1"/>
  <c r="Q413" i="1"/>
  <c r="AE413" i="1" s="1"/>
  <c r="AF413" i="1" s="1"/>
  <c r="Q278" i="1"/>
  <c r="AE278" i="1" s="1"/>
  <c r="AF278" i="1" s="1"/>
  <c r="Q342" i="1"/>
  <c r="AE342" i="1" s="1"/>
  <c r="AF342" i="1" s="1"/>
  <c r="Q58" i="1"/>
  <c r="AE58" i="1" s="1"/>
  <c r="AF58" i="1" s="1"/>
  <c r="Q190" i="1"/>
  <c r="AE190" i="1" s="1"/>
  <c r="AF190" i="1" s="1"/>
  <c r="Q477" i="1"/>
  <c r="AE477" i="1" s="1"/>
  <c r="AF477" i="1" s="1"/>
  <c r="Q365" i="1"/>
  <c r="AE365" i="1" s="1"/>
  <c r="AF365" i="1" s="1"/>
  <c r="Q398" i="1"/>
  <c r="AE398" i="1" s="1"/>
  <c r="AF398" i="1" s="1"/>
  <c r="Q112" i="1"/>
  <c r="AE112" i="1" s="1"/>
  <c r="AF112" i="1" s="1"/>
  <c r="Q343" i="1"/>
  <c r="AE343" i="1" s="1"/>
  <c r="AF343" i="1" s="1"/>
  <c r="Q245" i="1"/>
  <c r="AE245" i="1" s="1"/>
  <c r="AF245" i="1" s="1"/>
  <c r="Q456" i="1"/>
  <c r="AE456" i="1" s="1"/>
  <c r="AF456" i="1" s="1"/>
  <c r="Q265" i="1"/>
  <c r="AE265" i="1" s="1"/>
  <c r="AF265" i="1" s="1"/>
  <c r="Q96" i="1"/>
  <c r="AE96" i="1" s="1"/>
  <c r="AF96" i="1" s="1"/>
  <c r="Q31" i="1"/>
  <c r="AE31" i="1" s="1"/>
  <c r="AF31" i="1" s="1"/>
  <c r="Q457" i="1"/>
  <c r="AE457" i="1" s="1"/>
  <c r="AF457" i="1" s="1"/>
  <c r="Q172" i="1"/>
  <c r="AE172" i="1" s="1"/>
  <c r="AF172" i="1" s="1"/>
  <c r="Q38" i="1"/>
  <c r="AE38" i="1" s="1"/>
  <c r="AF38" i="1" s="1"/>
  <c r="Q385" i="1"/>
  <c r="AE385" i="1" s="1"/>
  <c r="AF385" i="1" s="1"/>
  <c r="Q377" i="1"/>
  <c r="AE377" i="1" s="1"/>
  <c r="AF377" i="1" s="1"/>
  <c r="Q130" i="1"/>
  <c r="AE130" i="1" s="1"/>
  <c r="AF130" i="1" s="1"/>
  <c r="Q191" i="1"/>
  <c r="AE191" i="1" s="1"/>
  <c r="AF191" i="1" s="1"/>
  <c r="Q77" i="1"/>
  <c r="AE77" i="1" s="1"/>
  <c r="AF77" i="1" s="1"/>
  <c r="Q84" i="1"/>
  <c r="AE84" i="1" s="1"/>
  <c r="AF84" i="1" s="1"/>
  <c r="Q218" i="1"/>
  <c r="AE218" i="1" s="1"/>
  <c r="AF218" i="1" s="1"/>
  <c r="Q114" i="1"/>
  <c r="AE114" i="1" s="1"/>
  <c r="AF114" i="1" s="1"/>
  <c r="Q148" i="1"/>
  <c r="AE148" i="1" s="1"/>
  <c r="AF148" i="1" s="1"/>
  <c r="Q93" i="1"/>
  <c r="AE93" i="1" s="1"/>
  <c r="AF93" i="1" s="1"/>
  <c r="Q472" i="1"/>
  <c r="AE472" i="1" s="1"/>
  <c r="AF472" i="1" s="1"/>
  <c r="Q50" i="1"/>
  <c r="AE50" i="1" s="1"/>
  <c r="AF50" i="1" s="1"/>
  <c r="Q71" i="1"/>
  <c r="AE71" i="1" s="1"/>
  <c r="AF71" i="1" s="1"/>
  <c r="Q369" i="1"/>
  <c r="AE369" i="1" s="1"/>
  <c r="AF369" i="1" s="1"/>
  <c r="Q386" i="1"/>
  <c r="AE386" i="1" s="1"/>
  <c r="AF386" i="1" s="1"/>
  <c r="Q142" i="1"/>
  <c r="AE142" i="1" s="1"/>
  <c r="AF142" i="1" s="1"/>
  <c r="Q44" i="1"/>
  <c r="AE44" i="1" s="1"/>
  <c r="AF44" i="1" s="1"/>
  <c r="Q176" i="1"/>
  <c r="AE176" i="1" s="1"/>
  <c r="AF176" i="1" s="1"/>
  <c r="Q98" i="1"/>
  <c r="AE98" i="1" s="1"/>
  <c r="AF98" i="1" s="1"/>
  <c r="Q321" i="1"/>
  <c r="AE321" i="1" s="1"/>
  <c r="AF321" i="1" s="1"/>
  <c r="Q458" i="1"/>
  <c r="AE458" i="1" s="1"/>
  <c r="AF458" i="1" s="1"/>
  <c r="Q328" i="1"/>
  <c r="AE328" i="1" s="1"/>
  <c r="AF328" i="1" s="1"/>
  <c r="Q475" i="1"/>
  <c r="AE475" i="1" s="1"/>
  <c r="AF475" i="1" s="1"/>
  <c r="Q489" i="1"/>
  <c r="AE489" i="1" s="1"/>
  <c r="AF489" i="1" s="1"/>
  <c r="Q410" i="1"/>
  <c r="AE410" i="1" s="1"/>
  <c r="AF410" i="1" s="1"/>
  <c r="Q275" i="1"/>
  <c r="AE275" i="1" s="1"/>
  <c r="AF275" i="1" s="1"/>
  <c r="Q485" i="1"/>
  <c r="AE485" i="1" s="1"/>
  <c r="AF485" i="1" s="1"/>
  <c r="Q374" i="1"/>
  <c r="AE374" i="1" s="1"/>
  <c r="AF374" i="1" s="1"/>
  <c r="Q329" i="1"/>
  <c r="AE329" i="1" s="1"/>
  <c r="AF329" i="1" s="1"/>
  <c r="Q20" i="1"/>
  <c r="AE20" i="1" s="1"/>
  <c r="AF20" i="1" s="1"/>
  <c r="Q282" i="1"/>
  <c r="AE282" i="1" s="1"/>
  <c r="AF282" i="1" s="1"/>
  <c r="Q173" i="1"/>
  <c r="AE173" i="1" s="1"/>
  <c r="AF173" i="1" s="1"/>
  <c r="Q297" i="1"/>
  <c r="AE297" i="1" s="1"/>
  <c r="AF297" i="1" s="1"/>
  <c r="Q451" i="1"/>
  <c r="AE451" i="1" s="1"/>
  <c r="AF451" i="1" s="1"/>
  <c r="Q391" i="1"/>
  <c r="AE391" i="1" s="1"/>
  <c r="AF391" i="1" s="1"/>
  <c r="Q344" i="1"/>
  <c r="AE344" i="1" s="1"/>
  <c r="AF344" i="1" s="1"/>
  <c r="Q308" i="1"/>
  <c r="AE308" i="1" s="1"/>
  <c r="AF308" i="1" s="1"/>
  <c r="Q271" i="1"/>
  <c r="AE271" i="1" s="1"/>
  <c r="AF271" i="1" s="1"/>
  <c r="Q149" i="1"/>
  <c r="AE149" i="1" s="1"/>
  <c r="AF149" i="1" s="1"/>
  <c r="Q197" i="1"/>
  <c r="AE197" i="1" s="1"/>
  <c r="AF197" i="1" s="1"/>
  <c r="Q256" i="1"/>
  <c r="AE256" i="1" s="1"/>
  <c r="AF256" i="1" s="1"/>
  <c r="Q403" i="1"/>
  <c r="AE403" i="1" s="1"/>
  <c r="AF403" i="1" s="1"/>
  <c r="Q491" i="1"/>
  <c r="AE491" i="1" s="1"/>
  <c r="AF491" i="1" s="1"/>
  <c r="Q299" i="1"/>
  <c r="AE299" i="1" s="1"/>
  <c r="AF299" i="1" s="1"/>
  <c r="Q117" i="1"/>
  <c r="AE117" i="1" s="1"/>
  <c r="AF117" i="1" s="1"/>
  <c r="Q16" i="1"/>
  <c r="AE16" i="1" s="1"/>
  <c r="AF16" i="1" s="1"/>
  <c r="Q428" i="1"/>
  <c r="AE428" i="1" s="1"/>
  <c r="AF428" i="1" s="1"/>
  <c r="Q404" i="1"/>
  <c r="AE404" i="1" s="1"/>
  <c r="AF404" i="1" s="1"/>
  <c r="Q283" i="1"/>
  <c r="AE283" i="1" s="1"/>
  <c r="AF283" i="1" s="1"/>
  <c r="Q371" i="1"/>
  <c r="AE371" i="1" s="1"/>
  <c r="AF371" i="1" s="1"/>
  <c r="Q49" i="1"/>
  <c r="AE49" i="1" s="1"/>
  <c r="AF49" i="1" s="1"/>
  <c r="Q273" i="1"/>
  <c r="AE273" i="1" s="1"/>
  <c r="AF273" i="1" s="1"/>
  <c r="Q492" i="1"/>
  <c r="AE492" i="1" s="1"/>
  <c r="AF492" i="1" s="1"/>
  <c r="Q392" i="1"/>
  <c r="AE392" i="1" s="1"/>
  <c r="AF392" i="1" s="1"/>
  <c r="Q435" i="1"/>
  <c r="AE435" i="1" s="1"/>
  <c r="AF435" i="1" s="1"/>
  <c r="Q253" i="1"/>
  <c r="AE253" i="1" s="1"/>
  <c r="AF253" i="1" s="1"/>
  <c r="Q109" i="1"/>
  <c r="AE109" i="1" s="1"/>
  <c r="AF109" i="1" s="1"/>
  <c r="Q79" i="1"/>
  <c r="AE79" i="1" s="1"/>
  <c r="AF79" i="1" s="1"/>
  <c r="Q250" i="1"/>
  <c r="AE250" i="1" s="1"/>
  <c r="AF250" i="1" s="1"/>
  <c r="Q161" i="1"/>
  <c r="AE161" i="1" s="1"/>
  <c r="AF161" i="1" s="1"/>
  <c r="Q375" i="1"/>
  <c r="AE375" i="1" s="1"/>
  <c r="AF375" i="1" s="1"/>
  <c r="Q73" i="1"/>
  <c r="AE73" i="1" s="1"/>
  <c r="AF73" i="1" s="1"/>
  <c r="Q337" i="1"/>
  <c r="AE337" i="1" s="1"/>
  <c r="AF337" i="1" s="1"/>
  <c r="Q339" i="1"/>
  <c r="AE339" i="1" s="1"/>
  <c r="AF339" i="1" s="1"/>
  <c r="Q162" i="1"/>
  <c r="AE162" i="1" s="1"/>
  <c r="AF162" i="1" s="1"/>
  <c r="Q289" i="1"/>
  <c r="AE289" i="1" s="1"/>
  <c r="AF289" i="1" s="1"/>
  <c r="Q302" i="1"/>
  <c r="AE302" i="1" s="1"/>
  <c r="AF302" i="1" s="1"/>
  <c r="Q496" i="1"/>
  <c r="AE496" i="1" s="1"/>
  <c r="AF496" i="1" s="1"/>
  <c r="Q42" i="1"/>
  <c r="AE42" i="1" s="1"/>
  <c r="AF42" i="1" s="1"/>
  <c r="Q499" i="1"/>
  <c r="AE499" i="1" s="1"/>
  <c r="AF499" i="1" s="1"/>
  <c r="Q163" i="1"/>
  <c r="AE163" i="1" s="1"/>
  <c r="AF163" i="1" s="1"/>
  <c r="Q168" i="1"/>
  <c r="AE168" i="1" s="1"/>
  <c r="AF168" i="1" s="1"/>
  <c r="Q18" i="1"/>
  <c r="AE18" i="1" s="1"/>
  <c r="AF18" i="1" s="1"/>
  <c r="Q89" i="1"/>
  <c r="AE89" i="1" s="1"/>
  <c r="AF89" i="1" s="1"/>
  <c r="Q393" i="1"/>
  <c r="AE393" i="1" s="1"/>
  <c r="AF393" i="1" s="1"/>
  <c r="Q21" i="1"/>
  <c r="AE21" i="1" s="1"/>
  <c r="AF21" i="1" s="1"/>
  <c r="Q350" i="1"/>
  <c r="AE350" i="1" s="1"/>
  <c r="AF350" i="1" s="1"/>
  <c r="Q418" i="1"/>
  <c r="AE418" i="1" s="1"/>
  <c r="AF418" i="1" s="1"/>
  <c r="Q347" i="1"/>
  <c r="AE347" i="1" s="1"/>
  <c r="AF347" i="1" s="1"/>
  <c r="Q338" i="1"/>
  <c r="Q429" i="1"/>
  <c r="AE429" i="1" s="1"/>
  <c r="AF429" i="1" s="1"/>
  <c r="Q134" i="1"/>
  <c r="AE134" i="1" s="1"/>
  <c r="AF134" i="1" s="1"/>
  <c r="Q52" i="1"/>
  <c r="AE52" i="1" s="1"/>
  <c r="AF52" i="1" s="1"/>
  <c r="Q483" i="1"/>
  <c r="AE483" i="1" s="1"/>
  <c r="AF483" i="1" s="1"/>
  <c r="Q396" i="1"/>
  <c r="AE396" i="1" s="1"/>
  <c r="AF396" i="1" s="1"/>
  <c r="Q235" i="1"/>
  <c r="AE235" i="1" s="1"/>
  <c r="AF235" i="1" s="1"/>
  <c r="Q211" i="1"/>
  <c r="AE211" i="1" s="1"/>
  <c r="AF211" i="1" s="1"/>
  <c r="Q378" i="1"/>
  <c r="AE378" i="1" s="1"/>
  <c r="AF378" i="1" s="1"/>
  <c r="Q166" i="1"/>
  <c r="AE166" i="1" s="1"/>
  <c r="AF166" i="1" s="1"/>
  <c r="Q247" i="1"/>
  <c r="AE247" i="1" s="1"/>
  <c r="AF247" i="1" s="1"/>
  <c r="Q184" i="1"/>
  <c r="AE184" i="1" s="1"/>
  <c r="AF184" i="1" s="1"/>
  <c r="Q231" i="1"/>
  <c r="AE231" i="1" s="1"/>
  <c r="AF231" i="1" s="1"/>
  <c r="Q372" i="1"/>
  <c r="AE372" i="1" s="1"/>
  <c r="AF372" i="1" s="1"/>
  <c r="Q419" i="1"/>
  <c r="AE419" i="1" s="1"/>
  <c r="AF419" i="1" s="1"/>
  <c r="Q258" i="1"/>
  <c r="AE258" i="1" s="1"/>
  <c r="AF258" i="1" s="1"/>
  <c r="Q259" i="1"/>
  <c r="AE259" i="1" s="1"/>
  <c r="AF259" i="1" s="1"/>
  <c r="Q438" i="1"/>
  <c r="AE438" i="1" s="1"/>
  <c r="AF438" i="1" s="1"/>
  <c r="Q251" i="1"/>
  <c r="AE251" i="1" s="1"/>
  <c r="AF251" i="1" s="1"/>
  <c r="Q145" i="1"/>
  <c r="AE145" i="1" s="1"/>
  <c r="AF145" i="1" s="1"/>
  <c r="Q185" i="1"/>
  <c r="AE185" i="1" s="1"/>
  <c r="AF185" i="1" s="1"/>
  <c r="Q219" i="1"/>
  <c r="AE219" i="1" s="1"/>
  <c r="AF219" i="1" s="1"/>
  <c r="Q115" i="1"/>
  <c r="AE115" i="1" s="1"/>
  <c r="AF115" i="1" s="1"/>
  <c r="Q208" i="1"/>
  <c r="AE208" i="1" s="1"/>
  <c r="AF208" i="1" s="1"/>
  <c r="Q486" i="1"/>
  <c r="AE486" i="1" s="1"/>
  <c r="AF486" i="1" s="1"/>
  <c r="Q424" i="1"/>
  <c r="AE424" i="1" s="1"/>
  <c r="AF424" i="1" s="1"/>
  <c r="Q478" i="1"/>
  <c r="AE478" i="1" s="1"/>
  <c r="AF478" i="1" s="1"/>
  <c r="Q314" i="1"/>
  <c r="AE314" i="1" s="1"/>
  <c r="AF314" i="1" s="1"/>
  <c r="Q277" i="1"/>
  <c r="AE277" i="1" s="1"/>
  <c r="AF277" i="1" s="1"/>
  <c r="Q322" i="1"/>
  <c r="AE322" i="1" s="1"/>
  <c r="AF322" i="1" s="1"/>
  <c r="Q68" i="1"/>
  <c r="AE68" i="1" s="1"/>
  <c r="AF68" i="1" s="1"/>
  <c r="Q76" i="1"/>
  <c r="AE76" i="1" s="1"/>
  <c r="AF76" i="1" s="1"/>
  <c r="Q179" i="1"/>
  <c r="AE179" i="1" s="1"/>
  <c r="AF179" i="1" s="1"/>
  <c r="Q37" i="1"/>
  <c r="AE37" i="1" s="1"/>
  <c r="AF37" i="1" s="1"/>
  <c r="Q46" i="1"/>
  <c r="AE46" i="1" s="1"/>
  <c r="AF46" i="1" s="1"/>
  <c r="Q99" i="1"/>
  <c r="AE99" i="1" s="1"/>
  <c r="AF99" i="1" s="1"/>
  <c r="Q243" i="1"/>
  <c r="AE243" i="1" s="1"/>
  <c r="AF243" i="1" s="1"/>
  <c r="Q323" i="1"/>
  <c r="AE323" i="1" s="1"/>
  <c r="AF323" i="1" s="1"/>
  <c r="Q430" i="1"/>
  <c r="AE430" i="1" s="1"/>
  <c r="AF430" i="1" s="1"/>
  <c r="Q246" i="1"/>
  <c r="AE246" i="1" s="1"/>
  <c r="AF246" i="1" s="1"/>
  <c r="Q39" i="1"/>
  <c r="Q200" i="1"/>
  <c r="Q81" i="1"/>
  <c r="Q32" i="1"/>
  <c r="Q439" i="1"/>
  <c r="Q94" i="1"/>
  <c r="Q5" i="1"/>
  <c r="Q180" i="1"/>
  <c r="Q425" i="1"/>
  <c r="Q484" i="1"/>
  <c r="Q355" i="1"/>
  <c r="Q471" i="1"/>
  <c r="Q467" i="1"/>
  <c r="Q383" i="1"/>
  <c r="Q268" i="1"/>
  <c r="Q61" i="1"/>
  <c r="Q47" i="1"/>
  <c r="Q493" i="1"/>
  <c r="Q137" i="1"/>
  <c r="Q254" i="1"/>
  <c r="Q239" i="1"/>
  <c r="Q260" i="1"/>
  <c r="Q452" i="1"/>
  <c r="Q174" i="1"/>
  <c r="Q420" i="1"/>
  <c r="Q394" i="1"/>
  <c r="Q479" i="1"/>
  <c r="Q421" i="1"/>
  <c r="Q434" i="1"/>
  <c r="Q476" i="1"/>
  <c r="Q17" i="1"/>
  <c r="Q261" i="1"/>
  <c r="Q345" i="1"/>
  <c r="Q175" i="1"/>
  <c r="Q281" i="1"/>
  <c r="Q395" i="1"/>
  <c r="Q370" i="1"/>
  <c r="Q459" i="1"/>
  <c r="Q69" i="1"/>
  <c r="Q288" i="1"/>
  <c r="Q464" i="1"/>
  <c r="Q346" i="1"/>
  <c r="Q10" i="1"/>
  <c r="Q65" i="1"/>
  <c r="Q376" i="1"/>
  <c r="Q490" i="1"/>
  <c r="Q209" i="1"/>
  <c r="Q293" i="1"/>
  <c r="Q241" i="1"/>
  <c r="Q348" i="1"/>
  <c r="Q356" i="1"/>
  <c r="Q334" i="1"/>
  <c r="Q169" i="1"/>
  <c r="Q100" i="1"/>
  <c r="Q146" i="1"/>
  <c r="Q336" i="1"/>
  <c r="Q159" i="1"/>
  <c r="Q497" i="1"/>
  <c r="Q426" i="1"/>
  <c r="Q379" i="1"/>
  <c r="Q90" i="1"/>
  <c r="Q444" i="1"/>
  <c r="Q150" i="1"/>
  <c r="Q290" i="1"/>
  <c r="Q36" i="1"/>
  <c r="Q91" i="1"/>
  <c r="Q216" i="1"/>
  <c r="Q59" i="1"/>
  <c r="Q82" i="1"/>
  <c r="Q192" i="1"/>
  <c r="Q3" i="1"/>
  <c r="Q441" i="1"/>
  <c r="Q349" i="1"/>
  <c r="Q331" i="1"/>
  <c r="Q351" i="1"/>
  <c r="Q312" i="1"/>
  <c r="Q263" i="1"/>
  <c r="Q78" i="1"/>
  <c r="Q423" i="1"/>
  <c r="Q34" i="1"/>
  <c r="Q6" i="1"/>
  <c r="Q340" i="1"/>
  <c r="Q101" i="1"/>
  <c r="Q294" i="1"/>
  <c r="Q315" i="1"/>
  <c r="Q500" i="1"/>
  <c r="Q414" i="1"/>
  <c r="Q272" i="1"/>
  <c r="Q157" i="1"/>
  <c r="Q431" i="1"/>
  <c r="Q295" i="1"/>
  <c r="Q11" i="1"/>
  <c r="Q436" i="1"/>
  <c r="Q498" i="1"/>
  <c r="Q387" i="1"/>
  <c r="Q448" i="1"/>
  <c r="Q470" i="1"/>
  <c r="Q229" i="1"/>
  <c r="Q170" i="1"/>
  <c r="Q316" i="1"/>
  <c r="Q80" i="1"/>
  <c r="Q177" i="1"/>
  <c r="Q417" i="1"/>
  <c r="C504" i="1"/>
  <c r="C505" i="1"/>
  <c r="AE39" i="1" l="1"/>
  <c r="AF39" i="1" s="1"/>
  <c r="AE200" i="1"/>
  <c r="AF200" i="1" s="1"/>
  <c r="AE81" i="1"/>
  <c r="AF81" i="1" s="1"/>
  <c r="AE32" i="1"/>
  <c r="AF32" i="1" s="1"/>
  <c r="AE439" i="1"/>
  <c r="AF439" i="1" s="1"/>
  <c r="AE94" i="1"/>
  <c r="AF94" i="1" s="1"/>
  <c r="AE5" i="1"/>
  <c r="AF5" i="1" s="1"/>
  <c r="AE180" i="1"/>
  <c r="AF180" i="1" s="1"/>
  <c r="AE425" i="1"/>
  <c r="AF425" i="1" s="1"/>
  <c r="AE484" i="1"/>
  <c r="AF484" i="1" s="1"/>
  <c r="AE355" i="1"/>
  <c r="AF355" i="1" s="1"/>
  <c r="AE471" i="1"/>
  <c r="AF471" i="1" s="1"/>
  <c r="AE467" i="1"/>
  <c r="AF467" i="1" s="1"/>
  <c r="AE383" i="1"/>
  <c r="AF383" i="1" s="1"/>
  <c r="AE268" i="1"/>
  <c r="AF268" i="1" s="1"/>
  <c r="AE61" i="1"/>
  <c r="AF61" i="1" s="1"/>
  <c r="AE47" i="1"/>
  <c r="AF47" i="1" s="1"/>
  <c r="AE493" i="1"/>
  <c r="AF493" i="1" s="1"/>
  <c r="AE137" i="1"/>
  <c r="AF137" i="1" s="1"/>
  <c r="AE254" i="1"/>
  <c r="AF254" i="1" s="1"/>
  <c r="AE239" i="1"/>
  <c r="AF239" i="1" s="1"/>
  <c r="AE260" i="1"/>
  <c r="AF260" i="1" s="1"/>
  <c r="AE452" i="1"/>
  <c r="AF452" i="1" s="1"/>
  <c r="AE174" i="1"/>
  <c r="AF174" i="1" s="1"/>
  <c r="AE420" i="1"/>
  <c r="AF420" i="1" s="1"/>
  <c r="AE394" i="1"/>
  <c r="AF394" i="1" s="1"/>
  <c r="AE479" i="1"/>
  <c r="AF479" i="1" s="1"/>
  <c r="AE421" i="1"/>
  <c r="AF421" i="1" s="1"/>
  <c r="AE434" i="1"/>
  <c r="AF434" i="1" s="1"/>
  <c r="AE476" i="1"/>
  <c r="AF476" i="1" s="1"/>
  <c r="AE17" i="1"/>
  <c r="AF17" i="1" s="1"/>
  <c r="AE261" i="1"/>
  <c r="AF261" i="1" s="1"/>
  <c r="AE345" i="1"/>
  <c r="AF345" i="1" s="1"/>
  <c r="AE175" i="1"/>
  <c r="AF175" i="1" s="1"/>
  <c r="AE281" i="1"/>
  <c r="AF281" i="1" s="1"/>
  <c r="AE395" i="1"/>
  <c r="AF395" i="1" s="1"/>
  <c r="AE370" i="1"/>
  <c r="AF370" i="1" s="1"/>
  <c r="AE459" i="1"/>
  <c r="AF459" i="1" s="1"/>
  <c r="AE69" i="1"/>
  <c r="AF69" i="1" s="1"/>
  <c r="AE288" i="1"/>
  <c r="AF288" i="1" s="1"/>
  <c r="AE464" i="1"/>
  <c r="AF464" i="1" s="1"/>
  <c r="AE346" i="1"/>
  <c r="AF346" i="1" s="1"/>
  <c r="AE10" i="1"/>
  <c r="AF10" i="1" s="1"/>
  <c r="AE65" i="1"/>
  <c r="AF65" i="1" s="1"/>
  <c r="AE376" i="1"/>
  <c r="AF376" i="1" s="1"/>
  <c r="AE490" i="1"/>
  <c r="AF490" i="1" s="1"/>
  <c r="AE209" i="1"/>
  <c r="AF209" i="1" s="1"/>
  <c r="AE293" i="1"/>
  <c r="AF293" i="1" s="1"/>
  <c r="AE241" i="1"/>
  <c r="AF241" i="1" s="1"/>
  <c r="AE348" i="1"/>
  <c r="AF348" i="1" s="1"/>
  <c r="AE356" i="1"/>
  <c r="AF356" i="1" s="1"/>
  <c r="AE334" i="1"/>
  <c r="AF334" i="1" s="1"/>
  <c r="AE169" i="1"/>
  <c r="AF169" i="1" s="1"/>
  <c r="AE100" i="1"/>
  <c r="AF100" i="1" s="1"/>
  <c r="AE146" i="1"/>
  <c r="AF146" i="1" s="1"/>
  <c r="AE336" i="1"/>
  <c r="AF336" i="1" s="1"/>
  <c r="AE159" i="1"/>
  <c r="AF159" i="1" s="1"/>
  <c r="AE497" i="1"/>
  <c r="AF497" i="1" s="1"/>
  <c r="AE426" i="1"/>
  <c r="AF426" i="1" s="1"/>
  <c r="AE379" i="1"/>
  <c r="AF379" i="1" s="1"/>
  <c r="AE90" i="1"/>
  <c r="AF90" i="1" s="1"/>
  <c r="AE444" i="1"/>
  <c r="AF444" i="1" s="1"/>
  <c r="AE150" i="1"/>
  <c r="AF150" i="1" s="1"/>
  <c r="AE290" i="1"/>
  <c r="AF290" i="1" s="1"/>
  <c r="AE36" i="1"/>
  <c r="AF36" i="1" s="1"/>
  <c r="AE91" i="1"/>
  <c r="AF91" i="1" s="1"/>
  <c r="AE216" i="1"/>
  <c r="AF216" i="1" s="1"/>
  <c r="AE59" i="1"/>
  <c r="AF59" i="1" s="1"/>
  <c r="AE82" i="1"/>
  <c r="AF82" i="1" s="1"/>
  <c r="AE192" i="1"/>
  <c r="AF192" i="1" s="1"/>
  <c r="AE3" i="1"/>
  <c r="AF3" i="1" s="1"/>
  <c r="AE441" i="1"/>
  <c r="AF441" i="1" s="1"/>
  <c r="AE349" i="1"/>
  <c r="AF349" i="1" s="1"/>
  <c r="AE331" i="1"/>
  <c r="AF331" i="1" s="1"/>
  <c r="AE351" i="1"/>
  <c r="AF351" i="1" s="1"/>
  <c r="AE312" i="1"/>
  <c r="AF312" i="1" s="1"/>
  <c r="AE263" i="1"/>
  <c r="AF263" i="1" s="1"/>
  <c r="AE78" i="1"/>
  <c r="AF78" i="1" s="1"/>
  <c r="AE423" i="1"/>
  <c r="AF423" i="1" s="1"/>
  <c r="AE34" i="1"/>
  <c r="AF34" i="1" s="1"/>
  <c r="AE6" i="1"/>
  <c r="AF6" i="1" s="1"/>
  <c r="AE340" i="1"/>
  <c r="AF340" i="1" s="1"/>
  <c r="AE101" i="1"/>
  <c r="AF101" i="1" s="1"/>
  <c r="AE294" i="1"/>
  <c r="AF294" i="1" s="1"/>
  <c r="AE315" i="1"/>
  <c r="AF315" i="1" s="1"/>
  <c r="AE500" i="1"/>
  <c r="AF500" i="1" s="1"/>
  <c r="AE414" i="1"/>
  <c r="AF414" i="1" s="1"/>
  <c r="AE272" i="1"/>
  <c r="AF272" i="1" s="1"/>
  <c r="AE157" i="1"/>
  <c r="AF157" i="1" s="1"/>
  <c r="AE431" i="1"/>
  <c r="AF431" i="1" s="1"/>
  <c r="AE295" i="1"/>
  <c r="AF295" i="1" s="1"/>
  <c r="AE11" i="1"/>
  <c r="AF11" i="1" s="1"/>
  <c r="AE436" i="1"/>
  <c r="AF436" i="1" s="1"/>
  <c r="AE498" i="1"/>
  <c r="AF498" i="1" s="1"/>
  <c r="AE387" i="1"/>
  <c r="AF387" i="1" s="1"/>
  <c r="AE448" i="1"/>
  <c r="AF448" i="1" s="1"/>
  <c r="AE470" i="1"/>
  <c r="AF470" i="1" s="1"/>
  <c r="AE229" i="1"/>
  <c r="AF229" i="1" s="1"/>
  <c r="AE170" i="1"/>
  <c r="AF170" i="1" s="1"/>
  <c r="AE316" i="1"/>
  <c r="AF316" i="1" s="1"/>
  <c r="AE80" i="1"/>
  <c r="AF80" i="1" s="1"/>
  <c r="AE177" i="1"/>
  <c r="AF177" i="1" s="1"/>
  <c r="AE417" i="1"/>
  <c r="AF417" i="1" s="1"/>
  <c r="T212" i="1"/>
  <c r="V212" i="1" s="1"/>
  <c r="AE212" i="1"/>
  <c r="AF212" i="1" s="1"/>
  <c r="T338" i="1"/>
  <c r="V338" i="1" s="1"/>
  <c r="AE338" i="1"/>
  <c r="AF338" i="1" s="1"/>
  <c r="C528" i="1"/>
  <c r="T2" i="1"/>
  <c r="C510" i="1"/>
  <c r="T279" i="1"/>
  <c r="V279" i="1" s="1"/>
  <c r="T380" i="1"/>
  <c r="V380" i="1" s="1"/>
  <c r="T313" i="1"/>
  <c r="V313" i="1" s="1"/>
  <c r="T237" i="1"/>
  <c r="V237" i="1" s="1"/>
  <c r="T411" i="1"/>
  <c r="V411" i="1" s="1"/>
  <c r="T198" i="1"/>
  <c r="V198" i="1" s="1"/>
  <c r="T305" i="1"/>
  <c r="V305" i="1" s="1"/>
  <c r="T111" i="1"/>
  <c r="V111" i="1" s="1"/>
  <c r="T152" i="1"/>
  <c r="V152" i="1" s="1"/>
  <c r="T238" i="1"/>
  <c r="V238" i="1" s="1"/>
  <c r="T224" i="1"/>
  <c r="V224" i="1" s="1"/>
  <c r="T373" i="1"/>
  <c r="V373" i="1" s="1"/>
  <c r="T210" i="1"/>
  <c r="V210" i="1" s="1"/>
  <c r="T326" i="1"/>
  <c r="V326" i="1" s="1"/>
  <c r="T462" i="1"/>
  <c r="V462" i="1" s="1"/>
  <c r="T116" i="1"/>
  <c r="V116" i="1" s="1"/>
  <c r="T366" i="1"/>
  <c r="V366" i="1" s="1"/>
  <c r="T160" i="1"/>
  <c r="V160" i="1" s="1"/>
  <c r="T138" i="1"/>
  <c r="V138" i="1" s="1"/>
  <c r="T45" i="1"/>
  <c r="V45" i="1" s="1"/>
  <c r="T121" i="1"/>
  <c r="V121" i="1" s="1"/>
  <c r="T151" i="1"/>
  <c r="V151" i="1" s="1"/>
  <c r="T481" i="1"/>
  <c r="V481" i="1" s="1"/>
  <c r="T482" i="1"/>
  <c r="V482" i="1" s="1"/>
  <c r="T381" i="1"/>
  <c r="V381" i="1" s="1"/>
  <c r="T167" i="1"/>
  <c r="V167" i="1" s="1"/>
  <c r="T194" i="1"/>
  <c r="V194" i="1" s="1"/>
  <c r="T286" i="1"/>
  <c r="V286" i="1" s="1"/>
  <c r="T298" i="1"/>
  <c r="V298" i="1" s="1"/>
  <c r="T164" i="1"/>
  <c r="V164" i="1" s="1"/>
  <c r="T221" i="1"/>
  <c r="V221" i="1" s="1"/>
  <c r="T401" i="1"/>
  <c r="V401" i="1" s="1"/>
  <c r="T131" i="1"/>
  <c r="V131" i="1" s="1"/>
  <c r="T165" i="1"/>
  <c r="V165" i="1" s="1"/>
  <c r="T501" i="1"/>
  <c r="V501" i="1" s="1"/>
  <c r="T270" i="1"/>
  <c r="V270" i="1" s="1"/>
  <c r="T95" i="1"/>
  <c r="V95" i="1" s="1"/>
  <c r="T127" i="1"/>
  <c r="V127" i="1" s="1"/>
  <c r="T304" i="1"/>
  <c r="V304" i="1" s="1"/>
  <c r="T361" i="1"/>
  <c r="V361" i="1" s="1"/>
  <c r="T153" i="1"/>
  <c r="V153" i="1" s="1"/>
  <c r="T41" i="1"/>
  <c r="V41" i="1" s="1"/>
  <c r="T202" i="1"/>
  <c r="V202" i="1" s="1"/>
  <c r="T106" i="1"/>
  <c r="V106" i="1" s="1"/>
  <c r="T388" i="1"/>
  <c r="V388" i="1" s="1"/>
  <c r="T186" i="1"/>
  <c r="V186" i="1" s="1"/>
  <c r="T311" i="1"/>
  <c r="V311" i="1" s="1"/>
  <c r="T433" i="1"/>
  <c r="V433" i="1" s="1"/>
  <c r="T301" i="1"/>
  <c r="V301" i="1" s="1"/>
  <c r="T257" i="1"/>
  <c r="V257" i="1" s="1"/>
  <c r="T324" i="1"/>
  <c r="V324" i="1" s="1"/>
  <c r="T287" i="1"/>
  <c r="V287" i="1" s="1"/>
  <c r="T225" i="1"/>
  <c r="V225" i="1" s="1"/>
  <c r="T267" i="1"/>
  <c r="V267" i="1" s="1"/>
  <c r="T232" i="1"/>
  <c r="V232" i="1" s="1"/>
  <c r="T48" i="1"/>
  <c r="V48" i="1" s="1"/>
  <c r="T128" i="1"/>
  <c r="V128" i="1" s="1"/>
  <c r="T215" i="1"/>
  <c r="V215" i="1" s="1"/>
  <c r="T319" i="1"/>
  <c r="V319" i="1" s="1"/>
  <c r="T453" i="1"/>
  <c r="V453" i="1" s="1"/>
  <c r="T66" i="1"/>
  <c r="V66" i="1" s="1"/>
  <c r="T102" i="1"/>
  <c r="V102" i="1" s="1"/>
  <c r="T233" i="1"/>
  <c r="V233" i="1" s="1"/>
  <c r="T242" i="1"/>
  <c r="V242" i="1" s="1"/>
  <c r="T129" i="1"/>
  <c r="V129" i="1" s="1"/>
  <c r="T123" i="1"/>
  <c r="V123" i="1" s="1"/>
  <c r="T382" i="1"/>
  <c r="V382" i="1" s="1"/>
  <c r="T332" i="1"/>
  <c r="V332" i="1" s="1"/>
  <c r="T495" i="1"/>
  <c r="V495" i="1" s="1"/>
  <c r="T390" i="1"/>
  <c r="V390" i="1" s="1"/>
  <c r="T292" i="1"/>
  <c r="V292" i="1" s="1"/>
  <c r="T214" i="1"/>
  <c r="V214" i="1" s="1"/>
  <c r="T113" i="1"/>
  <c r="V113" i="1" s="1"/>
  <c r="T320" i="1"/>
  <c r="V320" i="1" s="1"/>
  <c r="T354" i="1"/>
  <c r="V354" i="1" s="1"/>
  <c r="T262" i="1"/>
  <c r="V262" i="1" s="1"/>
  <c r="T450" i="1"/>
  <c r="V450" i="1" s="1"/>
  <c r="T125" i="1"/>
  <c r="V125" i="1" s="1"/>
  <c r="T269" i="1"/>
  <c r="V269" i="1" s="1"/>
  <c r="T40" i="1"/>
  <c r="V40" i="1" s="1"/>
  <c r="T325" i="1"/>
  <c r="V325" i="1" s="1"/>
  <c r="T327" i="1"/>
  <c r="V327" i="1" s="1"/>
  <c r="T364" i="1"/>
  <c r="V364" i="1" s="1"/>
  <c r="T35" i="1"/>
  <c r="V35" i="1" s="1"/>
  <c r="T30" i="1"/>
  <c r="V30" i="1" s="1"/>
  <c r="T108" i="1"/>
  <c r="V108" i="1" s="1"/>
  <c r="T413" i="1"/>
  <c r="V413" i="1" s="1"/>
  <c r="T342" i="1"/>
  <c r="V342" i="1" s="1"/>
  <c r="T190" i="1"/>
  <c r="V190" i="1" s="1"/>
  <c r="T365" i="1"/>
  <c r="V365" i="1" s="1"/>
  <c r="T112" i="1"/>
  <c r="V112" i="1" s="1"/>
  <c r="T245" i="1"/>
  <c r="V245" i="1" s="1"/>
  <c r="T265" i="1"/>
  <c r="V265" i="1" s="1"/>
  <c r="T31" i="1"/>
  <c r="V31" i="1" s="1"/>
  <c r="T38" i="1"/>
  <c r="V38" i="1" s="1"/>
  <c r="T377" i="1"/>
  <c r="V377" i="1" s="1"/>
  <c r="T130" i="1"/>
  <c r="V130" i="1" s="1"/>
  <c r="T84" i="1"/>
  <c r="V84" i="1" s="1"/>
  <c r="T114" i="1"/>
  <c r="V114" i="1" s="1"/>
  <c r="T472" i="1"/>
  <c r="V472" i="1" s="1"/>
  <c r="T369" i="1"/>
  <c r="V369" i="1" s="1"/>
  <c r="T386" i="1"/>
  <c r="V386" i="1" s="1"/>
  <c r="T44" i="1"/>
  <c r="V44" i="1" s="1"/>
  <c r="T98" i="1"/>
  <c r="V98" i="1" s="1"/>
  <c r="T321" i="1"/>
  <c r="V321" i="1" s="1"/>
  <c r="T489" i="1"/>
  <c r="V489" i="1" s="1"/>
  <c r="T374" i="1"/>
  <c r="V374" i="1" s="1"/>
  <c r="T20" i="1"/>
  <c r="V20" i="1" s="1"/>
  <c r="T297" i="1"/>
  <c r="V297" i="1" s="1"/>
  <c r="T391" i="1"/>
  <c r="V391" i="1" s="1"/>
  <c r="T149" i="1"/>
  <c r="V149" i="1" s="1"/>
  <c r="T256" i="1"/>
  <c r="V256" i="1" s="1"/>
  <c r="T403" i="1"/>
  <c r="V403" i="1" s="1"/>
  <c r="T299" i="1"/>
  <c r="V299" i="1" s="1"/>
  <c r="T404" i="1"/>
  <c r="V404" i="1" s="1"/>
  <c r="T283" i="1"/>
  <c r="V283" i="1" s="1"/>
  <c r="T49" i="1"/>
  <c r="V49" i="1" s="1"/>
  <c r="T492" i="1"/>
  <c r="V492" i="1" s="1"/>
  <c r="T392" i="1"/>
  <c r="V392" i="1" s="1"/>
  <c r="T109" i="1"/>
  <c r="V109" i="1" s="1"/>
  <c r="T161" i="1"/>
  <c r="V161" i="1" s="1"/>
  <c r="T73" i="1"/>
  <c r="V73" i="1" s="1"/>
  <c r="T162" i="1"/>
  <c r="V162" i="1" s="1"/>
  <c r="T499" i="1"/>
  <c r="V499" i="1" s="1"/>
  <c r="T18" i="1"/>
  <c r="V18" i="1" s="1"/>
  <c r="T393" i="1"/>
  <c r="V393" i="1" s="1"/>
  <c r="T418" i="1"/>
  <c r="V418" i="1" s="1"/>
  <c r="T429" i="1"/>
  <c r="V429" i="1" s="1"/>
  <c r="T99" i="1"/>
  <c r="V99" i="1" s="1"/>
  <c r="T430" i="1"/>
  <c r="V430" i="1" s="1"/>
  <c r="T39" i="1"/>
  <c r="V39" i="1" s="1"/>
  <c r="T81" i="1"/>
  <c r="V81" i="1" s="1"/>
  <c r="T439" i="1"/>
  <c r="V439" i="1" s="1"/>
  <c r="T5" i="1"/>
  <c r="V5" i="1" s="1"/>
  <c r="T180" i="1"/>
  <c r="V180" i="1" s="1"/>
  <c r="T425" i="1"/>
  <c r="V425" i="1" s="1"/>
  <c r="T484" i="1"/>
  <c r="V484" i="1" s="1"/>
  <c r="T355" i="1"/>
  <c r="V355" i="1" s="1"/>
  <c r="T467" i="1"/>
  <c r="V467" i="1" s="1"/>
  <c r="T383" i="1"/>
  <c r="V383" i="1" s="1"/>
  <c r="T268" i="1"/>
  <c r="V268" i="1" s="1"/>
  <c r="T47" i="1"/>
  <c r="V47" i="1" s="1"/>
  <c r="T137" i="1"/>
  <c r="V137" i="1" s="1"/>
  <c r="T254" i="1"/>
  <c r="V254" i="1" s="1"/>
  <c r="T239" i="1"/>
  <c r="V239" i="1" s="1"/>
  <c r="T260" i="1"/>
  <c r="V260" i="1" s="1"/>
  <c r="T452" i="1"/>
  <c r="V452" i="1" s="1"/>
  <c r="T420" i="1"/>
  <c r="V420" i="1" s="1"/>
  <c r="T479" i="1"/>
  <c r="V479" i="1" s="1"/>
  <c r="T434" i="1"/>
  <c r="V434" i="1" s="1"/>
  <c r="T476" i="1"/>
  <c r="V476" i="1" s="1"/>
  <c r="T261" i="1"/>
  <c r="V261" i="1" s="1"/>
  <c r="T345" i="1"/>
  <c r="V345" i="1" s="1"/>
  <c r="T281" i="1"/>
  <c r="V281" i="1" s="1"/>
  <c r="T370" i="1"/>
  <c r="V370" i="1" s="1"/>
  <c r="T69" i="1"/>
  <c r="V69" i="1" s="1"/>
  <c r="T464" i="1"/>
  <c r="V464" i="1" s="1"/>
  <c r="T10" i="1"/>
  <c r="V10" i="1" s="1"/>
  <c r="T376" i="1"/>
  <c r="V376" i="1" s="1"/>
  <c r="T209" i="1"/>
  <c r="V209" i="1" s="1"/>
  <c r="T241" i="1"/>
  <c r="V241" i="1" s="1"/>
  <c r="T356" i="1"/>
  <c r="V356" i="1" s="1"/>
  <c r="T169" i="1"/>
  <c r="V169" i="1" s="1"/>
  <c r="T146" i="1"/>
  <c r="V146" i="1" s="1"/>
  <c r="T159" i="1"/>
  <c r="V159" i="1" s="1"/>
  <c r="T426" i="1"/>
  <c r="V426" i="1" s="1"/>
  <c r="T379" i="1"/>
  <c r="V379" i="1" s="1"/>
  <c r="T90" i="1"/>
  <c r="V90" i="1" s="1"/>
  <c r="T36" i="1"/>
  <c r="V36" i="1" s="1"/>
  <c r="T216" i="1"/>
  <c r="V216" i="1" s="1"/>
  <c r="T82" i="1"/>
  <c r="V82" i="1" s="1"/>
  <c r="T349" i="1"/>
  <c r="V349" i="1" s="1"/>
  <c r="T331" i="1"/>
  <c r="V331" i="1" s="1"/>
  <c r="T263" i="1"/>
  <c r="V263" i="1" s="1"/>
  <c r="T423" i="1"/>
  <c r="V423" i="1" s="1"/>
  <c r="T34" i="1"/>
  <c r="V34" i="1" s="1"/>
  <c r="T340" i="1"/>
  <c r="V340" i="1" s="1"/>
  <c r="T294" i="1"/>
  <c r="V294" i="1" s="1"/>
  <c r="T414" i="1"/>
  <c r="V414" i="1" s="1"/>
  <c r="T157" i="1"/>
  <c r="V157" i="1" s="1"/>
  <c r="T431" i="1"/>
  <c r="V431" i="1" s="1"/>
  <c r="T436" i="1"/>
  <c r="V436" i="1" s="1"/>
  <c r="T498" i="1"/>
  <c r="V498" i="1" s="1"/>
  <c r="T470" i="1"/>
  <c r="V470" i="1" s="1"/>
  <c r="T170" i="1"/>
  <c r="V170" i="1" s="1"/>
  <c r="T177" i="1"/>
  <c r="V177" i="1" s="1"/>
  <c r="T417" i="1"/>
  <c r="V417" i="1" s="1"/>
  <c r="T442" i="1"/>
  <c r="V442" i="1" s="1"/>
  <c r="T178" i="1"/>
  <c r="V178" i="1" s="1"/>
  <c r="T443" i="1"/>
  <c r="V443" i="1" s="1"/>
  <c r="T193" i="1"/>
  <c r="V193" i="1" s="1"/>
  <c r="T461" i="1"/>
  <c r="V461" i="1" s="1"/>
  <c r="T310" i="1"/>
  <c r="V310" i="1" s="1"/>
  <c r="T110" i="1"/>
  <c r="V110" i="1" s="1"/>
  <c r="T446" i="1"/>
  <c r="V446" i="1" s="1"/>
  <c r="T12" i="1"/>
  <c r="V12" i="1" s="1"/>
  <c r="T415" i="1"/>
  <c r="V415" i="1" s="1"/>
  <c r="T306" i="1"/>
  <c r="V306" i="1" s="1"/>
  <c r="T454" i="1"/>
  <c r="V454" i="1" s="1"/>
  <c r="T171" i="1"/>
  <c r="V171" i="1" s="1"/>
  <c r="T264" i="1"/>
  <c r="V264" i="1" s="1"/>
  <c r="T26" i="1"/>
  <c r="V26" i="1" s="1"/>
  <c r="T353" i="1"/>
  <c r="V353" i="1" s="1"/>
  <c r="T367" i="1"/>
  <c r="V367" i="1" s="1"/>
  <c r="T449" i="1"/>
  <c r="V449" i="1" s="1"/>
  <c r="T28" i="1"/>
  <c r="V28" i="1" s="1"/>
  <c r="T230" i="1"/>
  <c r="V230" i="1" s="1"/>
  <c r="T139" i="1"/>
  <c r="V139" i="1" s="1"/>
  <c r="T291" i="1"/>
  <c r="V291" i="1" s="1"/>
  <c r="T7" i="1"/>
  <c r="V7" i="1" s="1"/>
  <c r="T72" i="1"/>
  <c r="V72" i="1" s="1"/>
  <c r="T64" i="1"/>
  <c r="V64" i="1" s="1"/>
  <c r="T240" i="1"/>
  <c r="V240" i="1" s="1"/>
  <c r="T140" i="1"/>
  <c r="V140" i="1" s="1"/>
  <c r="T55" i="1"/>
  <c r="V55" i="1" s="1"/>
  <c r="T132" i="1"/>
  <c r="V132" i="1" s="1"/>
  <c r="T488" i="1"/>
  <c r="V488" i="1" s="1"/>
  <c r="T432" i="1"/>
  <c r="V432" i="1" s="1"/>
  <c r="T43" i="1"/>
  <c r="V43" i="1" s="1"/>
  <c r="T24" i="1"/>
  <c r="V24" i="1" s="1"/>
  <c r="T252" i="1"/>
  <c r="V252" i="1" s="1"/>
  <c r="T199" i="1"/>
  <c r="V199" i="1" s="1"/>
  <c r="T284" i="1"/>
  <c r="V284" i="1" s="1"/>
  <c r="T188" i="1"/>
  <c r="V188" i="1" s="1"/>
  <c r="T406" i="1"/>
  <c r="V406" i="1" s="1"/>
  <c r="T440" i="1"/>
  <c r="V440" i="1" s="1"/>
  <c r="T141" i="1"/>
  <c r="V141" i="1" s="1"/>
  <c r="T447" i="1"/>
  <c r="V447" i="1" s="1"/>
  <c r="T244" i="1"/>
  <c r="V244" i="1" s="1"/>
  <c r="T248" i="1"/>
  <c r="V248" i="1" s="1"/>
  <c r="T27" i="1"/>
  <c r="V27" i="1" s="1"/>
  <c r="T357" i="1"/>
  <c r="V357" i="1" s="1"/>
  <c r="T104" i="1"/>
  <c r="V104" i="1" s="1"/>
  <c r="T416" i="1"/>
  <c r="V416" i="1" s="1"/>
  <c r="T494" i="1"/>
  <c r="V494" i="1" s="1"/>
  <c r="T368" i="1"/>
  <c r="V368" i="1" s="1"/>
  <c r="T466" i="1"/>
  <c r="V466" i="1" s="1"/>
  <c r="T87" i="1"/>
  <c r="V87" i="1" s="1"/>
  <c r="T205" i="1"/>
  <c r="V205" i="1" s="1"/>
  <c r="T158" i="1"/>
  <c r="V158" i="1" s="1"/>
  <c r="T88" i="1"/>
  <c r="V88" i="1" s="1"/>
  <c r="T412" i="1"/>
  <c r="V412" i="1" s="1"/>
  <c r="T33" i="1"/>
  <c r="V33" i="1" s="1"/>
  <c r="T469" i="1"/>
  <c r="V469" i="1" s="1"/>
  <c r="T9" i="1"/>
  <c r="V9" i="1" s="1"/>
  <c r="T249" i="1"/>
  <c r="V249" i="1" s="1"/>
  <c r="T196" i="1"/>
  <c r="V196" i="1" s="1"/>
  <c r="T206" i="1"/>
  <c r="V206" i="1" s="1"/>
  <c r="T144" i="1"/>
  <c r="V144" i="1" s="1"/>
  <c r="T57" i="1"/>
  <c r="V57" i="1" s="1"/>
  <c r="T189" i="1"/>
  <c r="V189" i="1" s="1"/>
  <c r="T124" i="1"/>
  <c r="V124" i="1" s="1"/>
  <c r="T107" i="1"/>
  <c r="V107" i="1" s="1"/>
  <c r="T25" i="1"/>
  <c r="V25" i="1" s="1"/>
  <c r="T56" i="1"/>
  <c r="V56" i="1" s="1"/>
  <c r="T83" i="1"/>
  <c r="V83" i="1" s="1"/>
  <c r="T317" i="1"/>
  <c r="V317" i="1" s="1"/>
  <c r="T182" i="1"/>
  <c r="V182" i="1" s="1"/>
  <c r="T398" i="1"/>
  <c r="V398" i="1" s="1"/>
  <c r="T96" i="1"/>
  <c r="V96" i="1" s="1"/>
  <c r="T172" i="1"/>
  <c r="V172" i="1" s="1"/>
  <c r="T385" i="1"/>
  <c r="V385" i="1" s="1"/>
  <c r="T191" i="1"/>
  <c r="V191" i="1" s="1"/>
  <c r="T77" i="1"/>
  <c r="V77" i="1" s="1"/>
  <c r="T218" i="1"/>
  <c r="V218" i="1" s="1"/>
  <c r="T93" i="1"/>
  <c r="V93" i="1" s="1"/>
  <c r="T71" i="1"/>
  <c r="V71" i="1" s="1"/>
  <c r="T142" i="1"/>
  <c r="V142" i="1" s="1"/>
  <c r="T328" i="1"/>
  <c r="V328" i="1" s="1"/>
  <c r="T275" i="1"/>
  <c r="V275" i="1" s="1"/>
  <c r="T329" i="1"/>
  <c r="V329" i="1" s="1"/>
  <c r="T282" i="1"/>
  <c r="V282" i="1" s="1"/>
  <c r="T451" i="1"/>
  <c r="V451" i="1" s="1"/>
  <c r="T308" i="1"/>
  <c r="V308" i="1" s="1"/>
  <c r="T271" i="1"/>
  <c r="V271" i="1" s="1"/>
  <c r="T491" i="1"/>
  <c r="V491" i="1" s="1"/>
  <c r="T117" i="1"/>
  <c r="V117" i="1" s="1"/>
  <c r="T428" i="1"/>
  <c r="V428" i="1" s="1"/>
  <c r="T371" i="1"/>
  <c r="V371" i="1" s="1"/>
  <c r="T273" i="1"/>
  <c r="V273" i="1" s="1"/>
  <c r="T435" i="1"/>
  <c r="V435" i="1" s="1"/>
  <c r="T79" i="1"/>
  <c r="V79" i="1" s="1"/>
  <c r="T289" i="1"/>
  <c r="V289" i="1" s="1"/>
  <c r="T42" i="1"/>
  <c r="V42" i="1" s="1"/>
  <c r="T163" i="1"/>
  <c r="V163" i="1" s="1"/>
  <c r="T89" i="1"/>
  <c r="V89" i="1" s="1"/>
  <c r="T350" i="1"/>
  <c r="V350" i="1" s="1"/>
  <c r="T134" i="1"/>
  <c r="V134" i="1" s="1"/>
  <c r="T396" i="1"/>
  <c r="V396" i="1" s="1"/>
  <c r="T211" i="1"/>
  <c r="V211" i="1" s="1"/>
  <c r="T166" i="1"/>
  <c r="V166" i="1" s="1"/>
  <c r="T184" i="1"/>
  <c r="V184" i="1" s="1"/>
  <c r="T372" i="1"/>
  <c r="V372" i="1" s="1"/>
  <c r="T259" i="1"/>
  <c r="V259" i="1" s="1"/>
  <c r="T251" i="1"/>
  <c r="V251" i="1" s="1"/>
  <c r="T185" i="1"/>
  <c r="V185" i="1" s="1"/>
  <c r="T115" i="1"/>
  <c r="V115" i="1" s="1"/>
  <c r="T486" i="1"/>
  <c r="V486" i="1" s="1"/>
  <c r="T478" i="1"/>
  <c r="V478" i="1" s="1"/>
  <c r="T277" i="1"/>
  <c r="V277" i="1" s="1"/>
  <c r="T68" i="1"/>
  <c r="V68" i="1" s="1"/>
  <c r="T37" i="1"/>
  <c r="V37" i="1" s="1"/>
  <c r="T243" i="1"/>
  <c r="V243" i="1" s="1"/>
  <c r="T200" i="1"/>
  <c r="V200" i="1" s="1"/>
  <c r="T471" i="1"/>
  <c r="V471" i="1" s="1"/>
  <c r="T61" i="1"/>
  <c r="V61" i="1" s="1"/>
  <c r="T394" i="1"/>
  <c r="V394" i="1" s="1"/>
  <c r="T421" i="1"/>
  <c r="V421" i="1" s="1"/>
  <c r="T395" i="1"/>
  <c r="V395" i="1" s="1"/>
  <c r="T459" i="1"/>
  <c r="V459" i="1" s="1"/>
  <c r="T65" i="1"/>
  <c r="V65" i="1" s="1"/>
  <c r="T490" i="1"/>
  <c r="V490" i="1" s="1"/>
  <c r="T293" i="1"/>
  <c r="V293" i="1" s="1"/>
  <c r="T348" i="1"/>
  <c r="V348" i="1" s="1"/>
  <c r="T334" i="1"/>
  <c r="V334" i="1" s="1"/>
  <c r="T336" i="1"/>
  <c r="V336" i="1" s="1"/>
  <c r="T444" i="1"/>
  <c r="V444" i="1" s="1"/>
  <c r="T59" i="1"/>
  <c r="V59" i="1" s="1"/>
  <c r="T192" i="1"/>
  <c r="V192" i="1" s="1"/>
  <c r="T441" i="1"/>
  <c r="V441" i="1" s="1"/>
  <c r="T312" i="1"/>
  <c r="V312" i="1" s="1"/>
  <c r="T315" i="1"/>
  <c r="V315" i="1" s="1"/>
  <c r="T11" i="1"/>
  <c r="V11" i="1" s="1"/>
  <c r="T448" i="1"/>
  <c r="V448" i="1" s="1"/>
  <c r="T229" i="1"/>
  <c r="V229" i="1" s="1"/>
  <c r="T80" i="1"/>
  <c r="V80" i="1" s="1"/>
  <c r="T53" i="1"/>
  <c r="V53" i="1" s="1"/>
  <c r="T223" i="1"/>
  <c r="V223" i="1" s="1"/>
  <c r="T405" i="1"/>
  <c r="V405" i="1" s="1"/>
  <c r="T22" i="1"/>
  <c r="V22" i="1" s="1"/>
  <c r="T422" i="1"/>
  <c r="V422" i="1" s="1"/>
  <c r="T85" i="1"/>
  <c r="V85" i="1" s="1"/>
  <c r="T54" i="1"/>
  <c r="V54" i="1" s="1"/>
  <c r="T118" i="1"/>
  <c r="V118" i="1" s="1"/>
  <c r="T358" i="1"/>
  <c r="V358" i="1" s="1"/>
  <c r="T480" i="1"/>
  <c r="V480" i="1" s="1"/>
  <c r="T67" i="1"/>
  <c r="V67" i="1" s="1"/>
  <c r="T201" i="1"/>
  <c r="V201" i="1" s="1"/>
  <c r="T217" i="1"/>
  <c r="V217" i="1" s="1"/>
  <c r="T408" i="1"/>
  <c r="V408" i="1" s="1"/>
  <c r="T285" i="1"/>
  <c r="V285" i="1" s="1"/>
  <c r="T86" i="1"/>
  <c r="V86" i="1" s="1"/>
  <c r="T126" i="1"/>
  <c r="V126" i="1" s="1"/>
  <c r="T400" i="1"/>
  <c r="V400" i="1" s="1"/>
  <c r="T407" i="1"/>
  <c r="V407" i="1" s="1"/>
  <c r="T460" i="1"/>
  <c r="V460" i="1" s="1"/>
  <c r="T155" i="1"/>
  <c r="V155" i="1" s="1"/>
  <c r="T266" i="1"/>
  <c r="V266" i="1" s="1"/>
  <c r="T119" i="1"/>
  <c r="V119" i="1" s="1"/>
  <c r="T473" i="1"/>
  <c r="V473" i="1" s="1"/>
  <c r="T445" i="1"/>
  <c r="V445" i="1" s="1"/>
  <c r="T147" i="1"/>
  <c r="V147" i="1" s="1"/>
  <c r="T60" i="1"/>
  <c r="V60" i="1" s="1"/>
  <c r="T409" i="1"/>
  <c r="V409" i="1" s="1"/>
  <c r="T487" i="1"/>
  <c r="V487" i="1" s="1"/>
  <c r="T234" i="1"/>
  <c r="V234" i="1" s="1"/>
  <c r="T120" i="1"/>
  <c r="V120" i="1" s="1"/>
  <c r="T330" i="1"/>
  <c r="V330" i="1" s="1"/>
  <c r="T300" i="1"/>
  <c r="V300" i="1" s="1"/>
  <c r="T220" i="1"/>
  <c r="V220" i="1" s="1"/>
  <c r="T62" i="1"/>
  <c r="V62" i="1" s="1"/>
  <c r="T352" i="1"/>
  <c r="V352" i="1" s="1"/>
  <c r="T13" i="1"/>
  <c r="V13" i="1" s="1"/>
  <c r="T318" i="1"/>
  <c r="V318" i="1" s="1"/>
  <c r="T156" i="1"/>
  <c r="V156" i="1" s="1"/>
  <c r="T307" i="1"/>
  <c r="V307" i="1" s="1"/>
  <c r="T474" i="1"/>
  <c r="V474" i="1" s="1"/>
  <c r="T335" i="1"/>
  <c r="V335" i="1" s="1"/>
  <c r="T187" i="1"/>
  <c r="V187" i="1" s="1"/>
  <c r="T74" i="1"/>
  <c r="V74" i="1" s="1"/>
  <c r="T63" i="1"/>
  <c r="V63" i="1" s="1"/>
  <c r="T154" i="1"/>
  <c r="V154" i="1" s="1"/>
  <c r="T143" i="1"/>
  <c r="V143" i="1" s="1"/>
  <c r="T183" i="1"/>
  <c r="V183" i="1" s="1"/>
  <c r="T359" i="1"/>
  <c r="V359" i="1" s="1"/>
  <c r="T280" i="1"/>
  <c r="V280" i="1" s="1"/>
  <c r="T397" i="1"/>
  <c r="V397" i="1" s="1"/>
  <c r="T14" i="1"/>
  <c r="V14" i="1" s="1"/>
  <c r="T135" i="1"/>
  <c r="V135" i="1" s="1"/>
  <c r="T204" i="1"/>
  <c r="V204" i="1" s="1"/>
  <c r="T427" i="1"/>
  <c r="V427" i="1" s="1"/>
  <c r="T360" i="1"/>
  <c r="V360" i="1" s="1"/>
  <c r="T227" i="1"/>
  <c r="V227" i="1" s="1"/>
  <c r="T51" i="1"/>
  <c r="V51" i="1" s="1"/>
  <c r="T389" i="1"/>
  <c r="V389" i="1" s="1"/>
  <c r="T195" i="1"/>
  <c r="V195" i="1" s="1"/>
  <c r="T4" i="1"/>
  <c r="V4" i="1" s="1"/>
  <c r="T465" i="1"/>
  <c r="V465" i="1" s="1"/>
  <c r="T75" i="1"/>
  <c r="V75" i="1" s="1"/>
  <c r="T29" i="1"/>
  <c r="V29" i="1" s="1"/>
  <c r="T228" i="1"/>
  <c r="V228" i="1" s="1"/>
  <c r="T213" i="1"/>
  <c r="V213" i="1" s="1"/>
  <c r="T8" i="1"/>
  <c r="V8" i="1" s="1"/>
  <c r="T402" i="1"/>
  <c r="V402" i="1" s="1"/>
  <c r="T23" i="1"/>
  <c r="V23" i="1" s="1"/>
  <c r="T468" i="1"/>
  <c r="V468" i="1" s="1"/>
  <c r="T384" i="1"/>
  <c r="V384" i="1" s="1"/>
  <c r="T133" i="1"/>
  <c r="V133" i="1" s="1"/>
  <c r="T222" i="1"/>
  <c r="V222" i="1" s="1"/>
  <c r="T181" i="1"/>
  <c r="V181" i="1" s="1"/>
  <c r="T122" i="1"/>
  <c r="V122" i="1" s="1"/>
  <c r="T455" i="1"/>
  <c r="V455" i="1" s="1"/>
  <c r="T303" i="1"/>
  <c r="V303" i="1" s="1"/>
  <c r="T463" i="1"/>
  <c r="V463" i="1" s="1"/>
  <c r="T136" i="1"/>
  <c r="V136" i="1" s="1"/>
  <c r="T226" i="1"/>
  <c r="V226" i="1" s="1"/>
  <c r="T276" i="1"/>
  <c r="V276" i="1" s="1"/>
  <c r="T92" i="1"/>
  <c r="V92" i="1" s="1"/>
  <c r="T309" i="1"/>
  <c r="V309" i="1" s="1"/>
  <c r="T362" i="1"/>
  <c r="V362" i="1" s="1"/>
  <c r="T399" i="1"/>
  <c r="V399" i="1" s="1"/>
  <c r="T363" i="1"/>
  <c r="V363" i="1" s="1"/>
  <c r="T97" i="1"/>
  <c r="V97" i="1" s="1"/>
  <c r="T70" i="1"/>
  <c r="V70" i="1" s="1"/>
  <c r="T236" i="1"/>
  <c r="V236" i="1" s="1"/>
  <c r="T341" i="1"/>
  <c r="V341" i="1" s="1"/>
  <c r="T203" i="1"/>
  <c r="V203" i="1" s="1"/>
  <c r="T255" i="1"/>
  <c r="V255" i="1" s="1"/>
  <c r="T105" i="1"/>
  <c r="V105" i="1" s="1"/>
  <c r="T437" i="1"/>
  <c r="V437" i="1" s="1"/>
  <c r="T15" i="1"/>
  <c r="V15" i="1" s="1"/>
  <c r="T19" i="1"/>
  <c r="V19" i="1" s="1"/>
  <c r="T207" i="1"/>
  <c r="V207" i="1" s="1"/>
  <c r="T103" i="1"/>
  <c r="V103" i="1" s="1"/>
  <c r="T296" i="1"/>
  <c r="V296" i="1" s="1"/>
  <c r="T333" i="1"/>
  <c r="V333" i="1" s="1"/>
  <c r="T274" i="1"/>
  <c r="V274" i="1" s="1"/>
  <c r="T278" i="1"/>
  <c r="V278" i="1" s="1"/>
  <c r="T58" i="1"/>
  <c r="V58" i="1" s="1"/>
  <c r="T477" i="1"/>
  <c r="V477" i="1" s="1"/>
  <c r="T343" i="1"/>
  <c r="V343" i="1" s="1"/>
  <c r="T456" i="1"/>
  <c r="V456" i="1" s="1"/>
  <c r="T457" i="1"/>
  <c r="V457" i="1" s="1"/>
  <c r="T148" i="1"/>
  <c r="V148" i="1" s="1"/>
  <c r="T50" i="1"/>
  <c r="V50" i="1" s="1"/>
  <c r="T176" i="1"/>
  <c r="V176" i="1" s="1"/>
  <c r="T458" i="1"/>
  <c r="V458" i="1" s="1"/>
  <c r="T475" i="1"/>
  <c r="V475" i="1" s="1"/>
  <c r="T410" i="1"/>
  <c r="V410" i="1" s="1"/>
  <c r="T485" i="1"/>
  <c r="V485" i="1" s="1"/>
  <c r="T173" i="1"/>
  <c r="V173" i="1" s="1"/>
  <c r="T344" i="1"/>
  <c r="V344" i="1" s="1"/>
  <c r="T197" i="1"/>
  <c r="V197" i="1" s="1"/>
  <c r="T16" i="1"/>
  <c r="V16" i="1" s="1"/>
  <c r="T253" i="1"/>
  <c r="V253" i="1" s="1"/>
  <c r="T250" i="1"/>
  <c r="V250" i="1" s="1"/>
  <c r="T375" i="1"/>
  <c r="V375" i="1" s="1"/>
  <c r="T337" i="1"/>
  <c r="V337" i="1" s="1"/>
  <c r="T339" i="1"/>
  <c r="V339" i="1" s="1"/>
  <c r="T302" i="1"/>
  <c r="V302" i="1" s="1"/>
  <c r="T496" i="1"/>
  <c r="V496" i="1" s="1"/>
  <c r="T168" i="1"/>
  <c r="V168" i="1" s="1"/>
  <c r="T21" i="1"/>
  <c r="V21" i="1" s="1"/>
  <c r="T347" i="1"/>
  <c r="V347" i="1" s="1"/>
  <c r="T52" i="1"/>
  <c r="V52" i="1" s="1"/>
  <c r="T483" i="1"/>
  <c r="V483" i="1" s="1"/>
  <c r="T235" i="1"/>
  <c r="V235" i="1" s="1"/>
  <c r="T378" i="1"/>
  <c r="V378" i="1" s="1"/>
  <c r="T247" i="1"/>
  <c r="V247" i="1" s="1"/>
  <c r="T231" i="1"/>
  <c r="V231" i="1" s="1"/>
  <c r="T419" i="1"/>
  <c r="V419" i="1" s="1"/>
  <c r="T258" i="1"/>
  <c r="V258" i="1" s="1"/>
  <c r="T438" i="1"/>
  <c r="V438" i="1" s="1"/>
  <c r="T145" i="1"/>
  <c r="V145" i="1" s="1"/>
  <c r="T219" i="1"/>
  <c r="V219" i="1" s="1"/>
  <c r="T208" i="1"/>
  <c r="V208" i="1" s="1"/>
  <c r="T424" i="1"/>
  <c r="V424" i="1" s="1"/>
  <c r="T314" i="1"/>
  <c r="V314" i="1" s="1"/>
  <c r="T322" i="1"/>
  <c r="V322" i="1" s="1"/>
  <c r="T76" i="1"/>
  <c r="V76" i="1" s="1"/>
  <c r="T179" i="1"/>
  <c r="V179" i="1" s="1"/>
  <c r="T46" i="1"/>
  <c r="V46" i="1" s="1"/>
  <c r="T323" i="1"/>
  <c r="V323" i="1" s="1"/>
  <c r="T246" i="1"/>
  <c r="V246" i="1" s="1"/>
  <c r="T32" i="1"/>
  <c r="V32" i="1" s="1"/>
  <c r="T94" i="1"/>
  <c r="V94" i="1" s="1"/>
  <c r="T493" i="1"/>
  <c r="V493" i="1" s="1"/>
  <c r="T174" i="1"/>
  <c r="V174" i="1" s="1"/>
  <c r="T17" i="1"/>
  <c r="V17" i="1" s="1"/>
  <c r="T175" i="1"/>
  <c r="V175" i="1" s="1"/>
  <c r="T288" i="1"/>
  <c r="V288" i="1" s="1"/>
  <c r="T346" i="1"/>
  <c r="V346" i="1" s="1"/>
  <c r="T100" i="1"/>
  <c r="V100" i="1" s="1"/>
  <c r="T497" i="1"/>
  <c r="V497" i="1" s="1"/>
  <c r="T150" i="1"/>
  <c r="V150" i="1" s="1"/>
  <c r="T290" i="1"/>
  <c r="V290" i="1" s="1"/>
  <c r="T91" i="1"/>
  <c r="V91" i="1" s="1"/>
  <c r="T3" i="1"/>
  <c r="V3" i="1" s="1"/>
  <c r="T351" i="1"/>
  <c r="V351" i="1" s="1"/>
  <c r="T78" i="1"/>
  <c r="V78" i="1" s="1"/>
  <c r="T6" i="1"/>
  <c r="V6" i="1" s="1"/>
  <c r="T101" i="1"/>
  <c r="V101" i="1" s="1"/>
  <c r="T500" i="1"/>
  <c r="V500" i="1" s="1"/>
  <c r="T272" i="1"/>
  <c r="V272" i="1" s="1"/>
  <c r="T295" i="1"/>
  <c r="V295" i="1" s="1"/>
  <c r="T387" i="1"/>
  <c r="V387" i="1" s="1"/>
  <c r="T316" i="1"/>
  <c r="V316" i="1" s="1"/>
  <c r="C531" i="1" l="1"/>
  <c r="V2" i="1"/>
  <c r="C526"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52A04D-F9B1-4F4E-A3AD-8BB2800D46F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3A91FB8-B577-4CC1-AA25-B23F03592802}" name="WorksheetConnection_M2S7_Excel_Mini_Project_data (1) (1).xlsx!Table1" type="102" refreshedVersion="8" minRefreshableVersion="5">
    <extLst>
      <ext xmlns:x15="http://schemas.microsoft.com/office/spreadsheetml/2010/11/main" uri="{DE250136-89BD-433C-8126-D09CA5730AF9}">
        <x15:connection id="Table1" autoDelete="1">
          <x15:rangePr sourceName="_xlcn.WorksheetConnection_M2S7_Excel_Mini_Project_data11.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<sst xmlns="http://schemas.openxmlformats.org/spreadsheetml/2006/main" count="6211" uniqueCount="2093">
  <si>
    <t>Customer_ID</t>
  </si>
  <si>
    <t>First_Name</t>
  </si>
  <si>
    <t>Last_Name</t>
  </si>
  <si>
    <t>Age</t>
  </si>
  <si>
    <t>Gender</t>
  </si>
  <si>
    <t>City</t>
  </si>
  <si>
    <t>Email</t>
  </si>
  <si>
    <t>Address</t>
  </si>
  <si>
    <t>Order_ID</t>
  </si>
  <si>
    <t>Order_Date</t>
  </si>
  <si>
    <t>Order_Time</t>
  </si>
  <si>
    <t>Product_ID</t>
  </si>
  <si>
    <t>Price</t>
  </si>
  <si>
    <t>Quantity</t>
  </si>
  <si>
    <t>Coupon_Code</t>
  </si>
  <si>
    <t>Estimated_Days_to_Deliver</t>
  </si>
  <si>
    <t>Delivery_Charge</t>
  </si>
  <si>
    <t>Delivery_Date</t>
  </si>
  <si>
    <t>Delivery_Time</t>
  </si>
  <si>
    <t>CID186</t>
  </si>
  <si>
    <t>Anne</t>
  </si>
  <si>
    <t>Oconnell</t>
  </si>
  <si>
    <t>Male</t>
  </si>
  <si>
    <t>Phoenix</t>
  </si>
  <si>
    <t>anne.oconnell@outlook.com</t>
  </si>
  <si>
    <t>2850 Matthew Ford, North Yolandachester, FL 67488</t>
  </si>
  <si>
    <t>OID2497</t>
  </si>
  <si>
    <t>18:16:33</t>
  </si>
  <si>
    <t>PID022</t>
  </si>
  <si>
    <t>FLAT8</t>
  </si>
  <si>
    <t>08:51:31</t>
  </si>
  <si>
    <t>CID150</t>
  </si>
  <si>
    <t>Anthony</t>
  </si>
  <si>
    <t>Thomas</t>
  </si>
  <si>
    <t>Female</t>
  </si>
  <si>
    <t>Houston</t>
  </si>
  <si>
    <t>anthony.thomas@rediffmail.com</t>
  </si>
  <si>
    <t>931 Christopher Ways Suite 833, North Michelle, IN 53484</t>
  </si>
  <si>
    <t>OID7056</t>
  </si>
  <si>
    <t>01:46:33</t>
  </si>
  <si>
    <t>PID015</t>
  </si>
  <si>
    <t>18:46:26</t>
  </si>
  <si>
    <t>CID115</t>
  </si>
  <si>
    <t>Karl</t>
  </si>
  <si>
    <t>Gallagher</t>
  </si>
  <si>
    <t>Other</t>
  </si>
  <si>
    <t>karl.gallagher@rediffmail.com</t>
  </si>
  <si>
    <t>5016 Snow Mountains Apt. 063, New Seanport, WY 41492</t>
  </si>
  <si>
    <t>OID7502</t>
  </si>
  <si>
    <t>07:31:36</t>
  </si>
  <si>
    <t>PID023</t>
  </si>
  <si>
    <t>FLAT15</t>
  </si>
  <si>
    <t>14:29:50</t>
  </si>
  <si>
    <t>OID7077</t>
  </si>
  <si>
    <t>18:29:21</t>
  </si>
  <si>
    <t>PID031</t>
  </si>
  <si>
    <t>DEL0</t>
  </si>
  <si>
    <t>07:00:32</t>
  </si>
  <si>
    <t>CID149</t>
  </si>
  <si>
    <t>Angela</t>
  </si>
  <si>
    <t>Horne</t>
  </si>
  <si>
    <t>angela.horne@outlook.com</t>
  </si>
  <si>
    <t>USNV Mueller, FPO AP 54648</t>
  </si>
  <si>
    <t>OID2793</t>
  </si>
  <si>
    <t>03:23:21</t>
  </si>
  <si>
    <t>22:10:58</t>
  </si>
  <si>
    <t>CID159</t>
  </si>
  <si>
    <t>Christine</t>
  </si>
  <si>
    <t>West</t>
  </si>
  <si>
    <t>New York</t>
  </si>
  <si>
    <t>christine.west@gmail.com</t>
  </si>
  <si>
    <t>Unit 1433 Box 0246, DPO AP 94952</t>
  </si>
  <si>
    <t>OID1483</t>
  </si>
  <si>
    <t>16:55:06</t>
  </si>
  <si>
    <t>PID043</t>
  </si>
  <si>
    <t>11:25:50</t>
  </si>
  <si>
    <t>OID4105</t>
  </si>
  <si>
    <t>09:47:21</t>
  </si>
  <si>
    <t>FLAT20</t>
  </si>
  <si>
    <t>20:10:50</t>
  </si>
  <si>
    <t>CID198</t>
  </si>
  <si>
    <t>David</t>
  </si>
  <si>
    <t>Delacruz</t>
  </si>
  <si>
    <t>Los Angeles</t>
  </si>
  <si>
    <t>david.delacruz@rediffmail.com</t>
  </si>
  <si>
    <t>USNS Ray, FPO AE 20238</t>
  </si>
  <si>
    <t>OID4372</t>
  </si>
  <si>
    <t>19:27:45</t>
  </si>
  <si>
    <t>PID046</t>
  </si>
  <si>
    <t>FLAT10</t>
  </si>
  <si>
    <t>12:36:32</t>
  </si>
  <si>
    <t>CID152</t>
  </si>
  <si>
    <t>Marcus</t>
  </si>
  <si>
    <t>Valenzuela</t>
  </si>
  <si>
    <t>marcus.valenzuela@yahoo.com</t>
  </si>
  <si>
    <t>694 Graham Prairie Apt. 887, Jimenezfurt, MI 33044</t>
  </si>
  <si>
    <t>OID3528</t>
  </si>
  <si>
    <t>12:07:00</t>
  </si>
  <si>
    <t>PID034</t>
  </si>
  <si>
    <t>23:05:41</t>
  </si>
  <si>
    <t>CID130</t>
  </si>
  <si>
    <t>Debra</t>
  </si>
  <si>
    <t>Rodriguez</t>
  </si>
  <si>
    <t>debra.rodriguez@rediffmail.com</t>
  </si>
  <si>
    <t>Unit 5964 Box 0721, DPO AP 01840</t>
  </si>
  <si>
    <t>OID9634</t>
  </si>
  <si>
    <t>13:46:47</t>
  </si>
  <si>
    <t>PID033</t>
  </si>
  <si>
    <t>19:57:06</t>
  </si>
  <si>
    <t>OID1905</t>
  </si>
  <si>
    <t>17:21:43</t>
  </si>
  <si>
    <t>08:00:35</t>
  </si>
  <si>
    <t>CID101</t>
  </si>
  <si>
    <t>Bobby</t>
  </si>
  <si>
    <t>Forbes</t>
  </si>
  <si>
    <t>bobby.forbes@gmail.com</t>
  </si>
  <si>
    <t>3079 John Parkway Suite 961, Port Kristaview, MT 91019</t>
  </si>
  <si>
    <t>OID3136</t>
  </si>
  <si>
    <t>15:09:49</t>
  </si>
  <si>
    <t>PID007</t>
  </si>
  <si>
    <t>22:54:40</t>
  </si>
  <si>
    <t>CID105</t>
  </si>
  <si>
    <t>Joseph</t>
  </si>
  <si>
    <t>Stewart</t>
  </si>
  <si>
    <t>joseph.stewart@yahoo.com</t>
  </si>
  <si>
    <t>4082 Wang Terrace Suite 040, Victorialand, ME 41532</t>
  </si>
  <si>
    <t>OID6886</t>
  </si>
  <si>
    <t>22:42:51</t>
  </si>
  <si>
    <t>PID042</t>
  </si>
  <si>
    <t>13:19:45</t>
  </si>
  <si>
    <t>CID172</t>
  </si>
  <si>
    <t>Kara</t>
  </si>
  <si>
    <t>Brennan</t>
  </si>
  <si>
    <t>Miami</t>
  </si>
  <si>
    <t>kara.brennan@outlook.com</t>
  </si>
  <si>
    <t>2174 Thomas Avenue, Maciasborough, NJ 41465</t>
  </si>
  <si>
    <t>OID3509</t>
  </si>
  <si>
    <t>14:52:54</t>
  </si>
  <si>
    <t>PID047</t>
  </si>
  <si>
    <t>15:16:54</t>
  </si>
  <si>
    <t>CID178</t>
  </si>
  <si>
    <t>Amy</t>
  </si>
  <si>
    <t>Reid</t>
  </si>
  <si>
    <t>amy.reid@rediffmail.com</t>
  </si>
  <si>
    <t>6262 Simpson Village, North Danielle, RI 76074</t>
  </si>
  <si>
    <t>OID3689</t>
  </si>
  <si>
    <t>01:19:56</t>
  </si>
  <si>
    <t>PID039</t>
  </si>
  <si>
    <t>21:47:03</t>
  </si>
  <si>
    <t>CID176</t>
  </si>
  <si>
    <t>Joshua</t>
  </si>
  <si>
    <t>Campbell</t>
  </si>
  <si>
    <t>Chicago</t>
  </si>
  <si>
    <t>joshua.campbell@gmail.com</t>
  </si>
  <si>
    <t>70426 Lindsey Overpass Apt. 030, Jessicafurt, AR 46269</t>
  </si>
  <si>
    <t>OID1911</t>
  </si>
  <si>
    <t>04:13:27</t>
  </si>
  <si>
    <t>11:25:46</t>
  </si>
  <si>
    <t>CID148</t>
  </si>
  <si>
    <t>Erin</t>
  </si>
  <si>
    <t>Miller</t>
  </si>
  <si>
    <t>San Francisco</t>
  </si>
  <si>
    <t>erin.miller@gmail.com</t>
  </si>
  <si>
    <t>65972 Peterson Route, Port Andrewfurt, SD 32892</t>
  </si>
  <si>
    <t>OID6520</t>
  </si>
  <si>
    <t>23:53:21</t>
  </si>
  <si>
    <t>PID014</t>
  </si>
  <si>
    <t>12:55:59</t>
  </si>
  <si>
    <t>CID137</t>
  </si>
  <si>
    <t>Gina</t>
  </si>
  <si>
    <t>Moreno</t>
  </si>
  <si>
    <t>gina.moreno@rediffmail.com</t>
  </si>
  <si>
    <t>USS Murray, FPO AP 66559</t>
  </si>
  <si>
    <t>OID6123</t>
  </si>
  <si>
    <t>19:16:28</t>
  </si>
  <si>
    <t>PID024</t>
  </si>
  <si>
    <t>03:46:23</t>
  </si>
  <si>
    <t>CID147</t>
  </si>
  <si>
    <t>Mallory</t>
  </si>
  <si>
    <t>Mitchell</t>
  </si>
  <si>
    <t>mallory.mitchell@yahoo.com</t>
  </si>
  <si>
    <t>710 Anthony Wall Suite 137, East Davidstad, NV 61494</t>
  </si>
  <si>
    <t>OID1699</t>
  </si>
  <si>
    <t>11:48:17</t>
  </si>
  <si>
    <t>10:08:54</t>
  </si>
  <si>
    <t>CID128</t>
  </si>
  <si>
    <t>Traci</t>
  </si>
  <si>
    <t>Jones</t>
  </si>
  <si>
    <t>traci.jones@yahoo.com</t>
  </si>
  <si>
    <t>4016 Ryan Passage, Collinsside, PA 88777</t>
  </si>
  <si>
    <t>OID3792</t>
  </si>
  <si>
    <t>06:34:00</t>
  </si>
  <si>
    <t>PID003</t>
  </si>
  <si>
    <t>14:05:20</t>
  </si>
  <si>
    <t>CID168</t>
  </si>
  <si>
    <t>Deborah</t>
  </si>
  <si>
    <t>Bates</t>
  </si>
  <si>
    <t>deborah.bates@yahoo.com</t>
  </si>
  <si>
    <t>278 Kathy Estate, Saraville, OH 77292</t>
  </si>
  <si>
    <t>OID7663</t>
  </si>
  <si>
    <t>04:06:55</t>
  </si>
  <si>
    <t>13:39:21</t>
  </si>
  <si>
    <t>CID179</t>
  </si>
  <si>
    <t>Christian</t>
  </si>
  <si>
    <t>Clayton</t>
  </si>
  <si>
    <t>christian.clayton@yahoo.com</t>
  </si>
  <si>
    <t>065 Madison Way, Smithstad, CT 68011</t>
  </si>
  <si>
    <t>OID7609</t>
  </si>
  <si>
    <t>10:38:12</t>
  </si>
  <si>
    <t>13:23:35</t>
  </si>
  <si>
    <t>CID163</t>
  </si>
  <si>
    <t>Mark</t>
  </si>
  <si>
    <t>Henderson</t>
  </si>
  <si>
    <t>Dallas</t>
  </si>
  <si>
    <t>mark.henderson@yahoo.com</t>
  </si>
  <si>
    <t>90155 Hines Spring, North Theresafurt, ME 31920</t>
  </si>
  <si>
    <t>OID8875</t>
  </si>
  <si>
    <t>20:47:13</t>
  </si>
  <si>
    <t>PID008</t>
  </si>
  <si>
    <t>16:23:04</t>
  </si>
  <si>
    <t>CID182</t>
  </si>
  <si>
    <t>John</t>
  </si>
  <si>
    <t>Herrera</t>
  </si>
  <si>
    <t>john.herrera@outlook.com</t>
  </si>
  <si>
    <t>61263 Jacob Isle, Amandatown, TN 34321</t>
  </si>
  <si>
    <t>OID4032</t>
  </si>
  <si>
    <t>08:09:52</t>
  </si>
  <si>
    <t>PID012</t>
  </si>
  <si>
    <t>00:57:21</t>
  </si>
  <si>
    <t>CID158</t>
  </si>
  <si>
    <t>Evans</t>
  </si>
  <si>
    <t>angela.evans@outlook.com</t>
  </si>
  <si>
    <t>16031 David Mountain Suite 431, Susanborough, PA 01910</t>
  </si>
  <si>
    <t>OID9964</t>
  </si>
  <si>
    <t>19:13:06</t>
  </si>
  <si>
    <t>PID028</t>
  </si>
  <si>
    <t>04:38:19</t>
  </si>
  <si>
    <t>OID2121</t>
  </si>
  <si>
    <t>06:04:50</t>
  </si>
  <si>
    <t>PID030</t>
  </si>
  <si>
    <t>20:36:00</t>
  </si>
  <si>
    <t>OID4710</t>
  </si>
  <si>
    <t>17:44:17</t>
  </si>
  <si>
    <t>PID026</t>
  </si>
  <si>
    <t>09:53:18</t>
  </si>
  <si>
    <t>OID4295</t>
  </si>
  <si>
    <t>18:58:15</t>
  </si>
  <si>
    <t>02:21:23</t>
  </si>
  <si>
    <t>CID193</t>
  </si>
  <si>
    <t>Ashley</t>
  </si>
  <si>
    <t>Rose</t>
  </si>
  <si>
    <t>ashley.rose@gmail.com</t>
  </si>
  <si>
    <t>424 Nichols Curve Suite 177, Lake Brianview, TX 17289</t>
  </si>
  <si>
    <t>OID2817</t>
  </si>
  <si>
    <t>12:22:52</t>
  </si>
  <si>
    <t>08:01:21</t>
  </si>
  <si>
    <t>CID166</t>
  </si>
  <si>
    <t>Taylor</t>
  </si>
  <si>
    <t>Davis</t>
  </si>
  <si>
    <t>taylor.davis@yahoo.com</t>
  </si>
  <si>
    <t>USCGC Simmons, FPO AA 60167</t>
  </si>
  <si>
    <t>OID4643</t>
  </si>
  <si>
    <t>00:40:20</t>
  </si>
  <si>
    <t>PID018</t>
  </si>
  <si>
    <t>20:26:25</t>
  </si>
  <si>
    <t>CID191</t>
  </si>
  <si>
    <t>Lauren</t>
  </si>
  <si>
    <t>Long</t>
  </si>
  <si>
    <t>lauren.long@gmail.com</t>
  </si>
  <si>
    <t>258 Michael Brooks Suite 363, Arnoldview, PA 49438</t>
  </si>
  <si>
    <t>OID4558</t>
  </si>
  <si>
    <t>21:19:14</t>
  </si>
  <si>
    <t>17:27:57</t>
  </si>
  <si>
    <t>CID108</t>
  </si>
  <si>
    <t>Teresa</t>
  </si>
  <si>
    <t>Harvey</t>
  </si>
  <si>
    <t>teresa.harvey@gmail.com</t>
  </si>
  <si>
    <t>02669 Kirk Squares, Davisville, VA 51272</t>
  </si>
  <si>
    <t>OID9577</t>
  </si>
  <si>
    <t>10:35:41</t>
  </si>
  <si>
    <t>PID036</t>
  </si>
  <si>
    <t>09:28:47</t>
  </si>
  <si>
    <t>OID5502</t>
  </si>
  <si>
    <t>13:50:14</t>
  </si>
  <si>
    <t>PID050</t>
  </si>
  <si>
    <t>08:49:03</t>
  </si>
  <si>
    <t>CID161</t>
  </si>
  <si>
    <t>Heather</t>
  </si>
  <si>
    <t>Schneider</t>
  </si>
  <si>
    <t>heather.schneider@outlook.com</t>
  </si>
  <si>
    <t>57940 Susan Creek Apt. 541, Port Aliciamouth, OR 90221</t>
  </si>
  <si>
    <t>OID6974</t>
  </si>
  <si>
    <t>01:48:02</t>
  </si>
  <si>
    <t>09:55:32</t>
  </si>
  <si>
    <t>CID190</t>
  </si>
  <si>
    <t>Valerie</t>
  </si>
  <si>
    <t>Carr</t>
  </si>
  <si>
    <t>valerie.carr@rediffmail.com</t>
  </si>
  <si>
    <t>981 Emily Stream, South Brianna, CO 98063</t>
  </si>
  <si>
    <t>OID2701</t>
  </si>
  <si>
    <t>14:37:48</t>
  </si>
  <si>
    <t>PID021</t>
  </si>
  <si>
    <t>09:09:46</t>
  </si>
  <si>
    <t>OID4432</t>
  </si>
  <si>
    <t>05:01:37</t>
  </si>
  <si>
    <t>14:14:46</t>
  </si>
  <si>
    <t>OID3502</t>
  </si>
  <si>
    <t>12:35:46</t>
  </si>
  <si>
    <t>00:00:51</t>
  </si>
  <si>
    <t>CID120</t>
  </si>
  <si>
    <t>Jenny</t>
  </si>
  <si>
    <t>Estrada</t>
  </si>
  <si>
    <t>jenny.estrada@yahoo.com</t>
  </si>
  <si>
    <t>792 Carlos Islands, West David, CT 16522</t>
  </si>
  <si>
    <t>OID4411</t>
  </si>
  <si>
    <t>23:34:14</t>
  </si>
  <si>
    <t>PID027</t>
  </si>
  <si>
    <t>16:46:20</t>
  </si>
  <si>
    <t>CID155</t>
  </si>
  <si>
    <t>Courtney</t>
  </si>
  <si>
    <t>Parker</t>
  </si>
  <si>
    <t>courtney.parker@yahoo.com</t>
  </si>
  <si>
    <t>087 Jacqueline Rue Apt. 694, East Tasha, SC 04859</t>
  </si>
  <si>
    <t>OID6304</t>
  </si>
  <si>
    <t>04:09:40</t>
  </si>
  <si>
    <t>01:56:00</t>
  </si>
  <si>
    <t>CID121</t>
  </si>
  <si>
    <t>Julie</t>
  </si>
  <si>
    <t>Meyer</t>
  </si>
  <si>
    <t>julie.meyer@yahoo.com</t>
  </si>
  <si>
    <t>17381 Smith Ramp Suite 398, Courtneyville, AL 17756</t>
  </si>
  <si>
    <t>OID5126</t>
  </si>
  <si>
    <t>04:03:43</t>
  </si>
  <si>
    <t>PID037</t>
  </si>
  <si>
    <t>18:12:43</t>
  </si>
  <si>
    <t>OID8577</t>
  </si>
  <si>
    <t>00:47:19</t>
  </si>
  <si>
    <t>PID041</t>
  </si>
  <si>
    <t>11:25:58</t>
  </si>
  <si>
    <t>OID7688</t>
  </si>
  <si>
    <t>12:37:23</t>
  </si>
  <si>
    <t>09:02:09</t>
  </si>
  <si>
    <t>CID133</t>
  </si>
  <si>
    <t>Donna</t>
  </si>
  <si>
    <t>Oneill</t>
  </si>
  <si>
    <t>donna.oneill@yahoo.com</t>
  </si>
  <si>
    <t>464 Carolyn Crest Suite 738, Lake Isaiah, CA 66153</t>
  </si>
  <si>
    <t>OID4670</t>
  </si>
  <si>
    <t>17:27:33</t>
  </si>
  <si>
    <t>PID004</t>
  </si>
  <si>
    <t>15:28:39</t>
  </si>
  <si>
    <t>CID169</t>
  </si>
  <si>
    <t>Robert</t>
  </si>
  <si>
    <t>Castillo</t>
  </si>
  <si>
    <t>robert.castillo@gmail.com</t>
  </si>
  <si>
    <t>7143 Brandon Skyway Suite 899, Tylerton, IA 21756</t>
  </si>
  <si>
    <t>OID3319</t>
  </si>
  <si>
    <t>01:59:03</t>
  </si>
  <si>
    <t>12:37:05</t>
  </si>
  <si>
    <t>CID132</t>
  </si>
  <si>
    <t>Timothy</t>
  </si>
  <si>
    <t>Hicks</t>
  </si>
  <si>
    <t>timothy.hicks@gmail.com</t>
  </si>
  <si>
    <t>140 Tracy Fields, Lake Cynthiaton, TX 57190</t>
  </si>
  <si>
    <t>OID6911</t>
  </si>
  <si>
    <t>21:46:52</t>
  </si>
  <si>
    <t>16:09:29</t>
  </si>
  <si>
    <t>CID180</t>
  </si>
  <si>
    <t>Andersen</t>
  </si>
  <si>
    <t>thomas.andersen@yahoo.com</t>
  </si>
  <si>
    <t>480 Summers Lock Suite 819, Sarahborough, IA 59863</t>
  </si>
  <si>
    <t>OID8494</t>
  </si>
  <si>
    <t>18:49:59</t>
  </si>
  <si>
    <t>00:31:21</t>
  </si>
  <si>
    <t>OID6898</t>
  </si>
  <si>
    <t>22:08:17</t>
  </si>
  <si>
    <t>PID020</t>
  </si>
  <si>
    <t>06:23:07</t>
  </si>
  <si>
    <t>CID184</t>
  </si>
  <si>
    <t>Aaron</t>
  </si>
  <si>
    <t>Thompson</t>
  </si>
  <si>
    <t>aaron.thompson@gmail.com</t>
  </si>
  <si>
    <t>PSC 0550, Box 2737, APO AE 75772</t>
  </si>
  <si>
    <t>OID7606</t>
  </si>
  <si>
    <t>19:20:51</t>
  </si>
  <si>
    <t>07:23:46</t>
  </si>
  <si>
    <t>CID187</t>
  </si>
  <si>
    <t>Jason</t>
  </si>
  <si>
    <t>Lopez</t>
  </si>
  <si>
    <t>jason.lopez@outlook.com</t>
  </si>
  <si>
    <t>934 Levine View, Brentport, NE 38210</t>
  </si>
  <si>
    <t>OID6503</t>
  </si>
  <si>
    <t>00:57:17</t>
  </si>
  <si>
    <t>09:51:58</t>
  </si>
  <si>
    <t>CID181</t>
  </si>
  <si>
    <t>Alexandra</t>
  </si>
  <si>
    <t>Smith</t>
  </si>
  <si>
    <t>alexandra.smith@rediffmail.com</t>
  </si>
  <si>
    <t>48611 Clark Village, West Anne, GA 92865</t>
  </si>
  <si>
    <t>OID3616</t>
  </si>
  <si>
    <t>04:25:34</t>
  </si>
  <si>
    <t>00:47:31</t>
  </si>
  <si>
    <t>OID2170</t>
  </si>
  <si>
    <t>07:52:23</t>
  </si>
  <si>
    <t>17:14:10</t>
  </si>
  <si>
    <t>CID116</t>
  </si>
  <si>
    <t>Ramirez</t>
  </si>
  <si>
    <t>john.ramirez@outlook.com</t>
  </si>
  <si>
    <t>02797 Martin Landing, South Michelle, VT 98781</t>
  </si>
  <si>
    <t>OID1956</t>
  </si>
  <si>
    <t>15:34:34</t>
  </si>
  <si>
    <t>PID010</t>
  </si>
  <si>
    <t>01:12:58</t>
  </si>
  <si>
    <t>CID135</t>
  </si>
  <si>
    <t>Amanda</t>
  </si>
  <si>
    <t>Howard</t>
  </si>
  <si>
    <t>amanda.howard@outlook.com</t>
  </si>
  <si>
    <t>56908 Sydney Park Suite 632, West Anthonyport, NC 15954</t>
  </si>
  <si>
    <t>OID8620</t>
  </si>
  <si>
    <t>01:45:28</t>
  </si>
  <si>
    <t>07:09:53</t>
  </si>
  <si>
    <t>OID4770</t>
  </si>
  <si>
    <t>12:30:02</t>
  </si>
  <si>
    <t>PID001</t>
  </si>
  <si>
    <t>07:53:31</t>
  </si>
  <si>
    <t>OID9880</t>
  </si>
  <si>
    <t>04:32:42</t>
  </si>
  <si>
    <t>08:48:02</t>
  </si>
  <si>
    <t>CID165</t>
  </si>
  <si>
    <t>Mary</t>
  </si>
  <si>
    <t>Knight</t>
  </si>
  <si>
    <t>mary.knight@yahoo.com</t>
  </si>
  <si>
    <t>907 Kimberly Hill, Murrayfort, NH 88384</t>
  </si>
  <si>
    <t>OID2152</t>
  </si>
  <si>
    <t>14:13:38</t>
  </si>
  <si>
    <t>16:08:19</t>
  </si>
  <si>
    <t>CID126</t>
  </si>
  <si>
    <t>Rogers</t>
  </si>
  <si>
    <t>marcus.rogers@outlook.com</t>
  </si>
  <si>
    <t>06912 Brown Pine Apt. 763, Teresamouth, HI 24377</t>
  </si>
  <si>
    <t>OID2991</t>
  </si>
  <si>
    <t>02:09:48</t>
  </si>
  <si>
    <t>03:08:52</t>
  </si>
  <si>
    <t>CID111</t>
  </si>
  <si>
    <t>Brian</t>
  </si>
  <si>
    <t>Kennedy</t>
  </si>
  <si>
    <t>brian.kennedy@outlook.com</t>
  </si>
  <si>
    <t>25126 Nancy Fort Suite 568, Alexandrachester, AZ 44823</t>
  </si>
  <si>
    <t>OID5607</t>
  </si>
  <si>
    <t>16:10:50</t>
  </si>
  <si>
    <t>15:21:29</t>
  </si>
  <si>
    <t>CID129</t>
  </si>
  <si>
    <t>Rebecca</t>
  </si>
  <si>
    <t>Figueroa</t>
  </si>
  <si>
    <t>rebecca.figueroa@outlook.com</t>
  </si>
  <si>
    <t>3959 Bell Dale, North Jacob, LA 07934</t>
  </si>
  <si>
    <t>OID8169</t>
  </si>
  <si>
    <t>09:43:27</t>
  </si>
  <si>
    <t>00:00:42</t>
  </si>
  <si>
    <t>CID199</t>
  </si>
  <si>
    <t>Lori</t>
  </si>
  <si>
    <t>Cook</t>
  </si>
  <si>
    <t>lori.cook@rediffmail.com</t>
  </si>
  <si>
    <t>86837 Bell Meadows, North Jasonshire, UT 51354</t>
  </si>
  <si>
    <t>OID5832</t>
  </si>
  <si>
    <t>02:34:25</t>
  </si>
  <si>
    <t>PID019</t>
  </si>
  <si>
    <t>13:09:47</t>
  </si>
  <si>
    <t>CID134</t>
  </si>
  <si>
    <t>Hayes</t>
  </si>
  <si>
    <t>debra.hayes@yahoo.com</t>
  </si>
  <si>
    <t>4601 Miller Lock, Williamsbury, IA 10943</t>
  </si>
  <si>
    <t>OID7806</t>
  </si>
  <si>
    <t>02:46:19</t>
  </si>
  <si>
    <t>PID009</t>
  </si>
  <si>
    <t>20:00:32</t>
  </si>
  <si>
    <t>CID136</t>
  </si>
  <si>
    <t>Brittany</t>
  </si>
  <si>
    <t>brittany.stewart@gmail.com</t>
  </si>
  <si>
    <t>6250 David Loaf Suite 561, North Pamelaberg, WV 63652</t>
  </si>
  <si>
    <t>OID4875</t>
  </si>
  <si>
    <t>18:25:37</t>
  </si>
  <si>
    <t>15:52:25</t>
  </si>
  <si>
    <t>CID153</t>
  </si>
  <si>
    <t>mitchell.parker@yahoo.com</t>
  </si>
  <si>
    <t>PSC 3316, Box 9303, APO AE 29513</t>
  </si>
  <si>
    <t>OID4070</t>
  </si>
  <si>
    <t>19:18:19</t>
  </si>
  <si>
    <t>PID038</t>
  </si>
  <si>
    <t>02:44:55</t>
  </si>
  <si>
    <t>OID7679</t>
  </si>
  <si>
    <t>09:15:50</t>
  </si>
  <si>
    <t>09:05:06</t>
  </si>
  <si>
    <t>CID100</t>
  </si>
  <si>
    <t>Sharon</t>
  </si>
  <si>
    <t>sharon.thompson@yahoo.com</t>
  </si>
  <si>
    <t>598 Jasmine Harbor, Turnerberg, SD 02371</t>
  </si>
  <si>
    <t>OID3097</t>
  </si>
  <si>
    <t>02:51:35</t>
  </si>
  <si>
    <t>05:56:26</t>
  </si>
  <si>
    <t>CID195</t>
  </si>
  <si>
    <t>Sarah</t>
  </si>
  <si>
    <t>Butler</t>
  </si>
  <si>
    <t>sarah.butler@rediffmail.com</t>
  </si>
  <si>
    <t>14131 Edwin Shore Apt. 190, Deniseberg, MD 90905</t>
  </si>
  <si>
    <t>OID8869</t>
  </si>
  <si>
    <t>20:59:40</t>
  </si>
  <si>
    <t>PID048</t>
  </si>
  <si>
    <t>23:33:51</t>
  </si>
  <si>
    <t>OID2686</t>
  </si>
  <si>
    <t>17:00:22</t>
  </si>
  <si>
    <t>PID049</t>
  </si>
  <si>
    <t>12:18:47</t>
  </si>
  <si>
    <t>CID175</t>
  </si>
  <si>
    <t>Katherine</t>
  </si>
  <si>
    <t>Weber</t>
  </si>
  <si>
    <t>katherine.weber@outlook.com</t>
  </si>
  <si>
    <t>04887 Kimberly Union Apt. 645, Port Laura, IL 97219</t>
  </si>
  <si>
    <t>OID1046</t>
  </si>
  <si>
    <t>22:51:56</t>
  </si>
  <si>
    <t>07:24:20</t>
  </si>
  <si>
    <t>CID103</t>
  </si>
  <si>
    <t>Nguyen</t>
  </si>
  <si>
    <t>jason.nguyen@yahoo.com</t>
  </si>
  <si>
    <t>7112 Travis Glens Suite 790, Crystalland, WV 38373</t>
  </si>
  <si>
    <t>OID8953</t>
  </si>
  <si>
    <t>12:19:34</t>
  </si>
  <si>
    <t>10:04:54</t>
  </si>
  <si>
    <t>CID192</t>
  </si>
  <si>
    <t>Brandon</t>
  </si>
  <si>
    <t>Cruz</t>
  </si>
  <si>
    <t>brandon.cruz@gmail.com</t>
  </si>
  <si>
    <t>9296 Villanueva Branch, East Kevin, CO 93912</t>
  </si>
  <si>
    <t>OID1157</t>
  </si>
  <si>
    <t>15:26:04</t>
  </si>
  <si>
    <t>08:17:58</t>
  </si>
  <si>
    <t>OID7358</t>
  </si>
  <si>
    <t>19:49:32</t>
  </si>
  <si>
    <t>22:41:33</t>
  </si>
  <si>
    <t>CID174</t>
  </si>
  <si>
    <t>Jodi</t>
  </si>
  <si>
    <t>Whitney</t>
  </si>
  <si>
    <t>jodi.whitney@yahoo.com</t>
  </si>
  <si>
    <t>72876 Lara Key Suite 383, Gutierrezton, OR 71683</t>
  </si>
  <si>
    <t>OID7453</t>
  </si>
  <si>
    <t>21:08:59</t>
  </si>
  <si>
    <t>PID017</t>
  </si>
  <si>
    <t>10:39:08</t>
  </si>
  <si>
    <t>OID1573</t>
  </si>
  <si>
    <t>05:40:38</t>
  </si>
  <si>
    <t>05:38:59</t>
  </si>
  <si>
    <t>OID5696</t>
  </si>
  <si>
    <t>17:56:01</t>
  </si>
  <si>
    <t>15:52:42</t>
  </si>
  <si>
    <t>OID3467</t>
  </si>
  <si>
    <t>23:34:28</t>
  </si>
  <si>
    <t>PID016</t>
  </si>
  <si>
    <t>02:05:20</t>
  </si>
  <si>
    <t>OID8542</t>
  </si>
  <si>
    <t>03:04:26</t>
  </si>
  <si>
    <t>16:05:07</t>
  </si>
  <si>
    <t>OID1520</t>
  </si>
  <si>
    <t>04:27:04</t>
  </si>
  <si>
    <t>07:38:34</t>
  </si>
  <si>
    <t>OID2157</t>
  </si>
  <si>
    <t>23:24:39</t>
  </si>
  <si>
    <t>PID006</t>
  </si>
  <si>
    <t>01:07:36</t>
  </si>
  <si>
    <t>CID145</t>
  </si>
  <si>
    <t>Romero</t>
  </si>
  <si>
    <t>ashley.romero@yahoo.com</t>
  </si>
  <si>
    <t>547 Kerry Expressway, Lake Amanda, AR 20321</t>
  </si>
  <si>
    <t>OID6374</t>
  </si>
  <si>
    <t>18:54:33</t>
  </si>
  <si>
    <t>16:14:09</t>
  </si>
  <si>
    <t>OID6555</t>
  </si>
  <si>
    <t>10:55:08</t>
  </si>
  <si>
    <t>10:56:05</t>
  </si>
  <si>
    <t>OID5850</t>
  </si>
  <si>
    <t>19:40:45</t>
  </si>
  <si>
    <t>20:24:13</t>
  </si>
  <si>
    <t>OID8041</t>
  </si>
  <si>
    <t>02:08:49</t>
  </si>
  <si>
    <t>PID025</t>
  </si>
  <si>
    <t>15:38:07</t>
  </si>
  <si>
    <t>CID144</t>
  </si>
  <si>
    <t>William</t>
  </si>
  <si>
    <t>Mann</t>
  </si>
  <si>
    <t>william.mann@yahoo.com</t>
  </si>
  <si>
    <t>849 Tran Wells, New Lindsayville, WI 22669</t>
  </si>
  <si>
    <t>OID5605</t>
  </si>
  <si>
    <t>01:05:15</t>
  </si>
  <si>
    <t>13:48:26</t>
  </si>
  <si>
    <t>OID8388</t>
  </si>
  <si>
    <t>04:27:02</t>
  </si>
  <si>
    <t>09:07:52</t>
  </si>
  <si>
    <t>CID125</t>
  </si>
  <si>
    <t>Kelli</t>
  </si>
  <si>
    <t>kelli.smith@rediffmail.com</t>
  </si>
  <si>
    <t>788 Kristina Lane, Montoyaside, VA 90756</t>
  </si>
  <si>
    <t>OID5787</t>
  </si>
  <si>
    <t>15:22:10</t>
  </si>
  <si>
    <t>13:15:51</t>
  </si>
  <si>
    <t>OID3140</t>
  </si>
  <si>
    <t>19:45:13</t>
  </si>
  <si>
    <t>13:53:47</t>
  </si>
  <si>
    <t>OID6771</t>
  </si>
  <si>
    <t>01:09:33</t>
  </si>
  <si>
    <t>21:18:20</t>
  </si>
  <si>
    <t>OID8988</t>
  </si>
  <si>
    <t>07:05:58</t>
  </si>
  <si>
    <t>17:13:41</t>
  </si>
  <si>
    <t>OID9398</t>
  </si>
  <si>
    <t>07:48:29</t>
  </si>
  <si>
    <t>23:09:43</t>
  </si>
  <si>
    <t>CID139</t>
  </si>
  <si>
    <t>Gaines</t>
  </si>
  <si>
    <t>joseph.gaines@outlook.com</t>
  </si>
  <si>
    <t>37549 Pope Isle Apt. 202, Tylerborough, MO 60042</t>
  </si>
  <si>
    <t>OID9822</t>
  </si>
  <si>
    <t>12:17:34</t>
  </si>
  <si>
    <t>11:02:15</t>
  </si>
  <si>
    <t>OID1269</t>
  </si>
  <si>
    <t>19:02:37</t>
  </si>
  <si>
    <t>00:56:16</t>
  </si>
  <si>
    <t>OID9915</t>
  </si>
  <si>
    <t>03:34:35</t>
  </si>
  <si>
    <t>00:26:45</t>
  </si>
  <si>
    <t>OID3348</t>
  </si>
  <si>
    <t>17:05:21</t>
  </si>
  <si>
    <t>PID005</t>
  </si>
  <si>
    <t>06:56:06</t>
  </si>
  <si>
    <t>CID118</t>
  </si>
  <si>
    <t>Ellis</t>
  </si>
  <si>
    <t>amy.ellis@gmail.com</t>
  </si>
  <si>
    <t>217 Scott Ville, Christophermouth, NH 83776</t>
  </si>
  <si>
    <t>OID8431</t>
  </si>
  <si>
    <t>23:41:08</t>
  </si>
  <si>
    <t>01:56:42</t>
  </si>
  <si>
    <t>CID140</t>
  </si>
  <si>
    <t>Beth</t>
  </si>
  <si>
    <t>Mason</t>
  </si>
  <si>
    <t>beth.mason@outlook.com</t>
  </si>
  <si>
    <t>58998 Sherry Haven, East Richard, FL 90775</t>
  </si>
  <si>
    <t>OID6943</t>
  </si>
  <si>
    <t>04:48:30</t>
  </si>
  <si>
    <t>PID035</t>
  </si>
  <si>
    <t>10:01:40</t>
  </si>
  <si>
    <t>OID6229</t>
  </si>
  <si>
    <t>17:09:49</t>
  </si>
  <si>
    <t>PID013</t>
  </si>
  <si>
    <t>22:15:50</t>
  </si>
  <si>
    <t>OID6912</t>
  </si>
  <si>
    <t>07:51:16</t>
  </si>
  <si>
    <t>06:23:31</t>
  </si>
  <si>
    <t>OID5081</t>
  </si>
  <si>
    <t>21:43:03</t>
  </si>
  <si>
    <t>01:29:42</t>
  </si>
  <si>
    <t>OID5610</t>
  </si>
  <si>
    <t>07:53:58</t>
  </si>
  <si>
    <t>10:10:26</t>
  </si>
  <si>
    <t>OID7759</t>
  </si>
  <si>
    <t>01:16:21</t>
  </si>
  <si>
    <t>17:07:06</t>
  </si>
  <si>
    <t>CID123</t>
  </si>
  <si>
    <t>Christy</t>
  </si>
  <si>
    <t>Chang</t>
  </si>
  <si>
    <t>christy.chang@outlook.com</t>
  </si>
  <si>
    <t>4647 Hannah Centers, Rhodesburgh, NH 89363</t>
  </si>
  <si>
    <t>OID4481</t>
  </si>
  <si>
    <t>02:43:38</t>
  </si>
  <si>
    <t>02:45:47</t>
  </si>
  <si>
    <t>CID183</t>
  </si>
  <si>
    <t>Troy</t>
  </si>
  <si>
    <t>Gomez</t>
  </si>
  <si>
    <t>troy.gomez@outlook.com</t>
  </si>
  <si>
    <t>7510 Jose Knolls, Candicechester, LA 62815</t>
  </si>
  <si>
    <t>OID6749</t>
  </si>
  <si>
    <t>13:25:18</t>
  </si>
  <si>
    <t>PID032</t>
  </si>
  <si>
    <t>14:51:25</t>
  </si>
  <si>
    <t>CID143</t>
  </si>
  <si>
    <t>Kim</t>
  </si>
  <si>
    <t>Blevins</t>
  </si>
  <si>
    <t>kim.blevins@outlook.com</t>
  </si>
  <si>
    <t>089 Rice Shoal Suite 491, Juarezmouth, MI 88715</t>
  </si>
  <si>
    <t>OID8681</t>
  </si>
  <si>
    <t>18:32:14</t>
  </si>
  <si>
    <t>06:09:27</t>
  </si>
  <si>
    <t>OID9693</t>
  </si>
  <si>
    <t>21:12:50</t>
  </si>
  <si>
    <t>09:07:45</t>
  </si>
  <si>
    <t>OID3607</t>
  </si>
  <si>
    <t>17:19:09</t>
  </si>
  <si>
    <t>09:03:23</t>
  </si>
  <si>
    <t>OID9743</t>
  </si>
  <si>
    <t>15:04:45</t>
  </si>
  <si>
    <t>19:43:27</t>
  </si>
  <si>
    <t>CID156</t>
  </si>
  <si>
    <t>Gregory</t>
  </si>
  <si>
    <t>Lee</t>
  </si>
  <si>
    <t>gregory.lee@rediffmail.com</t>
  </si>
  <si>
    <t>619 Parker Turnpike Apt. 025, West Brucehaven, ID 48437</t>
  </si>
  <si>
    <t>OID7866</t>
  </si>
  <si>
    <t>18:15:56</t>
  </si>
  <si>
    <t>04:57:03</t>
  </si>
  <si>
    <t>OID1137</t>
  </si>
  <si>
    <t>00:17:47</t>
  </si>
  <si>
    <t>21:42:51</t>
  </si>
  <si>
    <t>CID170</t>
  </si>
  <si>
    <t>Bruce</t>
  </si>
  <si>
    <t>Allen</t>
  </si>
  <si>
    <t>bruce.allen@rediffmail.com</t>
  </si>
  <si>
    <t>2417 Brown Ford, West Timothyside, RI 45629</t>
  </si>
  <si>
    <t>OID4685</t>
  </si>
  <si>
    <t>01:46:15</t>
  </si>
  <si>
    <t>22:28:20</t>
  </si>
  <si>
    <t>CID107</t>
  </si>
  <si>
    <t>Lisa</t>
  </si>
  <si>
    <t>lisa.miller@gmail.com</t>
  </si>
  <si>
    <t>89748 Campbell Drive, South Tannerland, WI 13143</t>
  </si>
  <si>
    <t>OID9584</t>
  </si>
  <si>
    <t>09:44:25</t>
  </si>
  <si>
    <t>09:50:58</t>
  </si>
  <si>
    <t>CID185</t>
  </si>
  <si>
    <t>Melissa</t>
  </si>
  <si>
    <t>Levy</t>
  </si>
  <si>
    <t>melissa.levy@rediffmail.com</t>
  </si>
  <si>
    <t>3303 Kennedy Springs Suite 830, East Amybury, MI 95595</t>
  </si>
  <si>
    <t>OID1686</t>
  </si>
  <si>
    <t>20:32:03</t>
  </si>
  <si>
    <t>PID040</t>
  </si>
  <si>
    <t>16:26:05</t>
  </si>
  <si>
    <t>OID5272</t>
  </si>
  <si>
    <t>12:57:10</t>
  </si>
  <si>
    <t>19:04:22</t>
  </si>
  <si>
    <t>OID7359</t>
  </si>
  <si>
    <t>14:16:13</t>
  </si>
  <si>
    <t>11:54:49</t>
  </si>
  <si>
    <t>OID3570</t>
  </si>
  <si>
    <t>05:44:11</t>
  </si>
  <si>
    <t>PID029</t>
  </si>
  <si>
    <t>18:54:47</t>
  </si>
  <si>
    <t>CID194</t>
  </si>
  <si>
    <t>Barbara</t>
  </si>
  <si>
    <t>Fuller</t>
  </si>
  <si>
    <t>barbara.fuller@rediffmail.com</t>
  </si>
  <si>
    <t>134 Mcintosh Unions Suite 574, Lake Laura, DE 96577</t>
  </si>
  <si>
    <t>OID2519</t>
  </si>
  <si>
    <t>19:28:31</t>
  </si>
  <si>
    <t>16:45:09</t>
  </si>
  <si>
    <t>OID1134</t>
  </si>
  <si>
    <t>06:22:42</t>
  </si>
  <si>
    <t>11:58:32</t>
  </si>
  <si>
    <t>OID8270</t>
  </si>
  <si>
    <t>03:53:04</t>
  </si>
  <si>
    <t>15:27:26</t>
  </si>
  <si>
    <t>OID9515</t>
  </si>
  <si>
    <t>13:06:48</t>
  </si>
  <si>
    <t>01:22:23</t>
  </si>
  <si>
    <t>CID188</t>
  </si>
  <si>
    <t>Kristina</t>
  </si>
  <si>
    <t>Haynes</t>
  </si>
  <si>
    <t>kristina.haynes@yahoo.com</t>
  </si>
  <si>
    <t>18295 Thomas River, Kochville, NH 80868</t>
  </si>
  <si>
    <t>OID6608</t>
  </si>
  <si>
    <t>10:28:03</t>
  </si>
  <si>
    <t>PID044</t>
  </si>
  <si>
    <t>23:08:52</t>
  </si>
  <si>
    <t>CID112</t>
  </si>
  <si>
    <t>Lindsey</t>
  </si>
  <si>
    <t>Byrd</t>
  </si>
  <si>
    <t>lindsey.byrd@rediffmail.com</t>
  </si>
  <si>
    <t>USCGC Harper, FPO AA 38349</t>
  </si>
  <si>
    <t>OID3035</t>
  </si>
  <si>
    <t>22:11:06</t>
  </si>
  <si>
    <t>11:35:56</t>
  </si>
  <si>
    <t>OID4548</t>
  </si>
  <si>
    <t>14:00:52</t>
  </si>
  <si>
    <t>04:39:06</t>
  </si>
  <si>
    <t>OID5978</t>
  </si>
  <si>
    <t>07:11:09</t>
  </si>
  <si>
    <t>14:05:53</t>
  </si>
  <si>
    <t>OID6297</t>
  </si>
  <si>
    <t>12:09:51</t>
  </si>
  <si>
    <t>05:11:05</t>
  </si>
  <si>
    <t>OID5108</t>
  </si>
  <si>
    <t>10:51:20</t>
  </si>
  <si>
    <t>23:53:27</t>
  </si>
  <si>
    <t>OID4599</t>
  </si>
  <si>
    <t>23:40:15</t>
  </si>
  <si>
    <t>20:14:00</t>
  </si>
  <si>
    <t>OID1418</t>
  </si>
  <si>
    <t>01:24:01</t>
  </si>
  <si>
    <t>16:29:02</t>
  </si>
  <si>
    <t>OID1411</t>
  </si>
  <si>
    <t>11:34:01</t>
  </si>
  <si>
    <t>11:25:35</t>
  </si>
  <si>
    <t>OID8692</t>
  </si>
  <si>
    <t>02:04:13</t>
  </si>
  <si>
    <t>19:20:55</t>
  </si>
  <si>
    <t>OID4402</t>
  </si>
  <si>
    <t>22:18:21</t>
  </si>
  <si>
    <t>12:35:14</t>
  </si>
  <si>
    <t>OID1309</t>
  </si>
  <si>
    <t>08:18:11</t>
  </si>
  <si>
    <t>13:38:46</t>
  </si>
  <si>
    <t>OID2746</t>
  </si>
  <si>
    <t>10:44:36</t>
  </si>
  <si>
    <t>23:51:56</t>
  </si>
  <si>
    <t>OID9360</t>
  </si>
  <si>
    <t>17:09:22</t>
  </si>
  <si>
    <t>16:24:38</t>
  </si>
  <si>
    <t>OID6453</t>
  </si>
  <si>
    <t>07:07:24</t>
  </si>
  <si>
    <t>01:21:39</t>
  </si>
  <si>
    <t>CID124</t>
  </si>
  <si>
    <t>Edward</t>
  </si>
  <si>
    <t>Black</t>
  </si>
  <si>
    <t>edward.black@gmail.com</t>
  </si>
  <si>
    <t>5879 Susan Via Apt. 886, Sandovalbury, WV 61449</t>
  </si>
  <si>
    <t>OID9745</t>
  </si>
  <si>
    <t>07:27:27</t>
  </si>
  <si>
    <t>14:08:36</t>
  </si>
  <si>
    <t>CID160</t>
  </si>
  <si>
    <t>James</t>
  </si>
  <si>
    <t>Brown</t>
  </si>
  <si>
    <t>james.brown@yahoo.com</t>
  </si>
  <si>
    <t>221 Frey Crossing Suite 192, South Taylorland, HI 72875</t>
  </si>
  <si>
    <t>OID4081</t>
  </si>
  <si>
    <t>00:30:57</t>
  </si>
  <si>
    <t>15:41:07</t>
  </si>
  <si>
    <t>CID171</t>
  </si>
  <si>
    <t>Leslie</t>
  </si>
  <si>
    <t>Montgomery</t>
  </si>
  <si>
    <t>leslie.montgomery@gmail.com</t>
  </si>
  <si>
    <t>135 Teresa Oval Apt. 825, East Katherineport, WY 13714</t>
  </si>
  <si>
    <t>OID3967</t>
  </si>
  <si>
    <t>20:10:38</t>
  </si>
  <si>
    <t>03:43:44</t>
  </si>
  <si>
    <t>CID173</t>
  </si>
  <si>
    <t>Susan</t>
  </si>
  <si>
    <t>susan.thompson@outlook.com</t>
  </si>
  <si>
    <t>47821 William Station, East Ashleymouth, FL 20562</t>
  </si>
  <si>
    <t>OID9112</t>
  </si>
  <si>
    <t>14:57:06</t>
  </si>
  <si>
    <t>21:20:28</t>
  </si>
  <si>
    <t>OID8628</t>
  </si>
  <si>
    <t>10:20:44</t>
  </si>
  <si>
    <t>23:29:03</t>
  </si>
  <si>
    <t>OID5996</t>
  </si>
  <si>
    <t>14:09:23</t>
  </si>
  <si>
    <t>10:17:52</t>
  </si>
  <si>
    <t>OID5210</t>
  </si>
  <si>
    <t>10:48:56</t>
  </si>
  <si>
    <t>05:48:39</t>
  </si>
  <si>
    <t>OID4415</t>
  </si>
  <si>
    <t>10:33:35</t>
  </si>
  <si>
    <t>05:24:44</t>
  </si>
  <si>
    <t>OID6716</t>
  </si>
  <si>
    <t>22:34:39</t>
  </si>
  <si>
    <t>02:59:45</t>
  </si>
  <si>
    <t>OID9804</t>
  </si>
  <si>
    <t>19:56:54</t>
  </si>
  <si>
    <t>PID011</t>
  </si>
  <si>
    <t>02:22:56</t>
  </si>
  <si>
    <t>OID9798</t>
  </si>
  <si>
    <t>19:28:23</t>
  </si>
  <si>
    <t>11:32:19</t>
  </si>
  <si>
    <t>OID4965</t>
  </si>
  <si>
    <t>09:43:17</t>
  </si>
  <si>
    <t>16:27:25</t>
  </si>
  <si>
    <t>OID3209</t>
  </si>
  <si>
    <t>06:49:56</t>
  </si>
  <si>
    <t>22:10:44</t>
  </si>
  <si>
    <t>OID6103</t>
  </si>
  <si>
    <t>00:43:57</t>
  </si>
  <si>
    <t>04:56:51</t>
  </si>
  <si>
    <t>OID4368</t>
  </si>
  <si>
    <t>15:45:08</t>
  </si>
  <si>
    <t>19:53:01</t>
  </si>
  <si>
    <t>OID1692</t>
  </si>
  <si>
    <t>03:06:30</t>
  </si>
  <si>
    <t>06:57:51</t>
  </si>
  <si>
    <t>OID9808</t>
  </si>
  <si>
    <t>13:02:42</t>
  </si>
  <si>
    <t>06:40:28</t>
  </si>
  <si>
    <t>CID119</t>
  </si>
  <si>
    <t>Griffin</t>
  </si>
  <si>
    <t>amy.griffin@rediffmail.com</t>
  </si>
  <si>
    <t>07350 Aaron Meadow Suite 138, Kiaraberg, AL 79545</t>
  </si>
  <si>
    <t>OID3568</t>
  </si>
  <si>
    <t>10:25:49</t>
  </si>
  <si>
    <t>08:21:37</t>
  </si>
  <si>
    <t>OID3469</t>
  </si>
  <si>
    <t>04:33:43</t>
  </si>
  <si>
    <t>01:47:49</t>
  </si>
  <si>
    <t>OID6217</t>
  </si>
  <si>
    <t>15:45:02</t>
  </si>
  <si>
    <t>19:16:06</t>
  </si>
  <si>
    <t>OID9257</t>
  </si>
  <si>
    <t>18:37:45</t>
  </si>
  <si>
    <t>02:32:24</t>
  </si>
  <si>
    <t>OID7258</t>
  </si>
  <si>
    <t>20:25:23</t>
  </si>
  <si>
    <t>11:54:10</t>
  </si>
  <si>
    <t>OID8380</t>
  </si>
  <si>
    <t>10:35:10</t>
  </si>
  <si>
    <t>00:12:03</t>
  </si>
  <si>
    <t>OID9224</t>
  </si>
  <si>
    <t>21:35:45</t>
  </si>
  <si>
    <t>09:34:31</t>
  </si>
  <si>
    <t>OID4506</t>
  </si>
  <si>
    <t>16:54:11</t>
  </si>
  <si>
    <t>18:09:14</t>
  </si>
  <si>
    <t>OID7689</t>
  </si>
  <si>
    <t>10:04:46</t>
  </si>
  <si>
    <t>22:23:04</t>
  </si>
  <si>
    <t>CID109</t>
  </si>
  <si>
    <t>Rachael</t>
  </si>
  <si>
    <t>Robinson</t>
  </si>
  <si>
    <t>rachael.robinson@rediffmail.com</t>
  </si>
  <si>
    <t>0889 Brady Points, Port Meganhaven, NM 26553</t>
  </si>
  <si>
    <t>OID8699</t>
  </si>
  <si>
    <t>02:22:40</t>
  </si>
  <si>
    <t>00:47:16</t>
  </si>
  <si>
    <t>OID1317</t>
  </si>
  <si>
    <t>21:52:14</t>
  </si>
  <si>
    <t>10:43:13</t>
  </si>
  <si>
    <t>OID2429</t>
  </si>
  <si>
    <t>08:31:11</t>
  </si>
  <si>
    <t>09:56:25</t>
  </si>
  <si>
    <t>OID4514</t>
  </si>
  <si>
    <t>20:48:48</t>
  </si>
  <si>
    <t>PID002</t>
  </si>
  <si>
    <t>15:06:55</t>
  </si>
  <si>
    <t>OID6237</t>
  </si>
  <si>
    <t>18:41:53</t>
  </si>
  <si>
    <t>19:58:13</t>
  </si>
  <si>
    <t>OID6752</t>
  </si>
  <si>
    <t>05:35:11</t>
  </si>
  <si>
    <t>04:56:02</t>
  </si>
  <si>
    <t>OID7059</t>
  </si>
  <si>
    <t>11:01:20</t>
  </si>
  <si>
    <t>12:21:09</t>
  </si>
  <si>
    <t>OID6264</t>
  </si>
  <si>
    <t>08:29:32</t>
  </si>
  <si>
    <t>12:32:31</t>
  </si>
  <si>
    <t>OID5366</t>
  </si>
  <si>
    <t>02:56:50</t>
  </si>
  <si>
    <t>05:26:37</t>
  </si>
  <si>
    <t>OID1663</t>
  </si>
  <si>
    <t>11:18:01</t>
  </si>
  <si>
    <t>06:56:11</t>
  </si>
  <si>
    <t>OID7664</t>
  </si>
  <si>
    <t>03:11:30</t>
  </si>
  <si>
    <t>18:17:55</t>
  </si>
  <si>
    <t>OID4364</t>
  </si>
  <si>
    <t>04:35:15</t>
  </si>
  <si>
    <t>15:55:56</t>
  </si>
  <si>
    <t>OID1153</t>
  </si>
  <si>
    <t>08:45:48</t>
  </si>
  <si>
    <t>10:48:42</t>
  </si>
  <si>
    <t>OID5700</t>
  </si>
  <si>
    <t>09:39:48</t>
  </si>
  <si>
    <t>06:37:23</t>
  </si>
  <si>
    <t>OID1706</t>
  </si>
  <si>
    <t>19:48:44</t>
  </si>
  <si>
    <t>16:27:41</t>
  </si>
  <si>
    <t>OID6420</t>
  </si>
  <si>
    <t>18:18:32</t>
  </si>
  <si>
    <t>10:39:26</t>
  </si>
  <si>
    <t>OID2659</t>
  </si>
  <si>
    <t>16:59:55</t>
  </si>
  <si>
    <t>01:05:29</t>
  </si>
  <si>
    <t>OID5326</t>
  </si>
  <si>
    <t>13:40:51</t>
  </si>
  <si>
    <t>PID045</t>
  </si>
  <si>
    <t>00:35:18</t>
  </si>
  <si>
    <t>CID127</t>
  </si>
  <si>
    <t>Natasha</t>
  </si>
  <si>
    <t>Michael</t>
  </si>
  <si>
    <t>natasha.michael@gmail.com</t>
  </si>
  <si>
    <t>78992 Justin Estates Suite 226, Floresberg, NM 40797</t>
  </si>
  <si>
    <t>OID4465</t>
  </si>
  <si>
    <t>08:11:19</t>
  </si>
  <si>
    <t>18:28:53</t>
  </si>
  <si>
    <t>OID9324</t>
  </si>
  <si>
    <t>02:27:18</t>
  </si>
  <si>
    <t>04:48:38</t>
  </si>
  <si>
    <t>OID9267</t>
  </si>
  <si>
    <t>05:33:41</t>
  </si>
  <si>
    <t>13:20:58</t>
  </si>
  <si>
    <t>OID5402</t>
  </si>
  <si>
    <t>18:14:45</t>
  </si>
  <si>
    <t>13:20:38</t>
  </si>
  <si>
    <t>OID8716</t>
  </si>
  <si>
    <t>03:08:05</t>
  </si>
  <si>
    <t>04:04:13</t>
  </si>
  <si>
    <t>OID4014</t>
  </si>
  <si>
    <t>21:06:59</t>
  </si>
  <si>
    <t>00:33:10</t>
  </si>
  <si>
    <t>OID8569</t>
  </si>
  <si>
    <t>14:49:31</t>
  </si>
  <si>
    <t>04:10:37</t>
  </si>
  <si>
    <t>OID6330</t>
  </si>
  <si>
    <t>19:40:44</t>
  </si>
  <si>
    <t>16:30:13</t>
  </si>
  <si>
    <t>OID6607</t>
  </si>
  <si>
    <t>16:25:28</t>
  </si>
  <si>
    <t>13:33:22</t>
  </si>
  <si>
    <t>OID4892</t>
  </si>
  <si>
    <t>05:57:45</t>
  </si>
  <si>
    <t>08:04:55</t>
  </si>
  <si>
    <t>OID9692</t>
  </si>
  <si>
    <t>13:16:36</t>
  </si>
  <si>
    <t>23:44:01</t>
  </si>
  <si>
    <t>OID4746</t>
  </si>
  <si>
    <t>07:44:52</t>
  </si>
  <si>
    <t>00:28:50</t>
  </si>
  <si>
    <t>OID6057</t>
  </si>
  <si>
    <t>12:51:15</t>
  </si>
  <si>
    <t>23:34:55</t>
  </si>
  <si>
    <t>OID3134</t>
  </si>
  <si>
    <t>22:55:27</t>
  </si>
  <si>
    <t>22:37:23</t>
  </si>
  <si>
    <t>OID7980</t>
  </si>
  <si>
    <t>01:31:08</t>
  </si>
  <si>
    <t>14:39:46</t>
  </si>
  <si>
    <t>OID7432</t>
  </si>
  <si>
    <t>15:02:28</t>
  </si>
  <si>
    <t>04:23:57</t>
  </si>
  <si>
    <t>OID9465</t>
  </si>
  <si>
    <t>06:54:02</t>
  </si>
  <si>
    <t>12:39:46</t>
  </si>
  <si>
    <t>CID189</t>
  </si>
  <si>
    <t>Aguilar</t>
  </si>
  <si>
    <t>christine.aguilar@gmail.com</t>
  </si>
  <si>
    <t>3284 Martin Neck, Lopezville, NY 69154</t>
  </si>
  <si>
    <t>OID9872</t>
  </si>
  <si>
    <t>08:20:59</t>
  </si>
  <si>
    <t>17:38:42</t>
  </si>
  <si>
    <t>OID6856</t>
  </si>
  <si>
    <t>14:00:27</t>
  </si>
  <si>
    <t>12:31:34</t>
  </si>
  <si>
    <t>OID1826</t>
  </si>
  <si>
    <t>15:26:43</t>
  </si>
  <si>
    <t>23:02:25</t>
  </si>
  <si>
    <t>OID3421</t>
  </si>
  <si>
    <t>22:25:26</t>
  </si>
  <si>
    <t>20:52:06</t>
  </si>
  <si>
    <t>OID6869</t>
  </si>
  <si>
    <t>00:02:50</t>
  </si>
  <si>
    <t>20:49:10</t>
  </si>
  <si>
    <t>OID6635</t>
  </si>
  <si>
    <t>22:46:23</t>
  </si>
  <si>
    <t>08:30:57</t>
  </si>
  <si>
    <t>OID8295</t>
  </si>
  <si>
    <t>08:00:47</t>
  </si>
  <si>
    <t>17:20:58</t>
  </si>
  <si>
    <t>OID4642</t>
  </si>
  <si>
    <t>09:33:35</t>
  </si>
  <si>
    <t>13:06:14</t>
  </si>
  <si>
    <t>OID7380</t>
  </si>
  <si>
    <t>00:13:11</t>
  </si>
  <si>
    <t>18:31:17</t>
  </si>
  <si>
    <t>OID1086</t>
  </si>
  <si>
    <t>20:01:38</t>
  </si>
  <si>
    <t>12:58:48</t>
  </si>
  <si>
    <t>OID6936</t>
  </si>
  <si>
    <t>06:33:55</t>
  </si>
  <si>
    <t>13:05:17</t>
  </si>
  <si>
    <t>CID162</t>
  </si>
  <si>
    <t>Summers</t>
  </si>
  <si>
    <t>mark.summers@outlook.com</t>
  </si>
  <si>
    <t>08413 Lynch Parkway, Calderonstad, NV 32697</t>
  </si>
  <si>
    <t>OID2938</t>
  </si>
  <si>
    <t>19:46:32</t>
  </si>
  <si>
    <t>23:22:12</t>
  </si>
  <si>
    <t>OID8074</t>
  </si>
  <si>
    <t>20:47:44</t>
  </si>
  <si>
    <t>00:16:22</t>
  </si>
  <si>
    <t>OID1076</t>
  </si>
  <si>
    <t>14:37:23</t>
  </si>
  <si>
    <t>01:58:28</t>
  </si>
  <si>
    <t>OID8347</t>
  </si>
  <si>
    <t>00:08:51</t>
  </si>
  <si>
    <t>10:47:50</t>
  </si>
  <si>
    <t>OID6373</t>
  </si>
  <si>
    <t>09:31:27</t>
  </si>
  <si>
    <t>OID5913</t>
  </si>
  <si>
    <t>09:46:43</t>
  </si>
  <si>
    <t>06:31:08</t>
  </si>
  <si>
    <t>OID2941</t>
  </si>
  <si>
    <t>21:17:39</t>
  </si>
  <si>
    <t>06:07:50</t>
  </si>
  <si>
    <t>CID104</t>
  </si>
  <si>
    <t>Gary</t>
  </si>
  <si>
    <t>Huff</t>
  </si>
  <si>
    <t>gary.huff@gmail.com</t>
  </si>
  <si>
    <t>58608 Alexander Terrace, South Bryan, SC 85541</t>
  </si>
  <si>
    <t>OID9627</t>
  </si>
  <si>
    <t>12:28:28</t>
  </si>
  <si>
    <t>12:21:43</t>
  </si>
  <si>
    <t>OID9705</t>
  </si>
  <si>
    <t>03:29:39</t>
  </si>
  <si>
    <t>23:33:34</t>
  </si>
  <si>
    <t>OID7486</t>
  </si>
  <si>
    <t>18:27:23</t>
  </si>
  <si>
    <t>12:42:53</t>
  </si>
  <si>
    <t>OID4560</t>
  </si>
  <si>
    <t>14:41:09</t>
  </si>
  <si>
    <t>07:56:25</t>
  </si>
  <si>
    <t>OID1379</t>
  </si>
  <si>
    <t>11:50:19</t>
  </si>
  <si>
    <t>11:48:40</t>
  </si>
  <si>
    <t>OID8114</t>
  </si>
  <si>
    <t>10:24:24</t>
  </si>
  <si>
    <t>20:08:57</t>
  </si>
  <si>
    <t>OID9805</t>
  </si>
  <si>
    <t>23:35:16</t>
  </si>
  <si>
    <t>01:46:46</t>
  </si>
  <si>
    <t>OID7003</t>
  </si>
  <si>
    <t>04:53:37</t>
  </si>
  <si>
    <t>07:56:46</t>
  </si>
  <si>
    <t>OID5372</t>
  </si>
  <si>
    <t>21:25:23</t>
  </si>
  <si>
    <t>15:58:45</t>
  </si>
  <si>
    <t>OID4097</t>
  </si>
  <si>
    <t>18:03:08</t>
  </si>
  <si>
    <t>10:45:58</t>
  </si>
  <si>
    <t>OID7090</t>
  </si>
  <si>
    <t>02:55:39</t>
  </si>
  <si>
    <t>13:12:04</t>
  </si>
  <si>
    <t>OID8741</t>
  </si>
  <si>
    <t>23:25:51</t>
  </si>
  <si>
    <t>09:03:16</t>
  </si>
  <si>
    <t>OID6002</t>
  </si>
  <si>
    <t>05:28:12</t>
  </si>
  <si>
    <t>09:29:13</t>
  </si>
  <si>
    <t>OID8585</t>
  </si>
  <si>
    <t>16:44:13</t>
  </si>
  <si>
    <t>23:19:19</t>
  </si>
  <si>
    <t>OID6767</t>
  </si>
  <si>
    <t>17:52:44</t>
  </si>
  <si>
    <t>14:18:48</t>
  </si>
  <si>
    <t>OID4369</t>
  </si>
  <si>
    <t>22:31:31</t>
  </si>
  <si>
    <t>17:01:58</t>
  </si>
  <si>
    <t>OID5283</t>
  </si>
  <si>
    <t>18:43:17</t>
  </si>
  <si>
    <t>07:02:28</t>
  </si>
  <si>
    <t>OID2949</t>
  </si>
  <si>
    <t>09:55:21</t>
  </si>
  <si>
    <t>22:38:31</t>
  </si>
  <si>
    <t>OID1071</t>
  </si>
  <si>
    <t>06:47:14</t>
  </si>
  <si>
    <t>05:46:18</t>
  </si>
  <si>
    <t>OID7412</t>
  </si>
  <si>
    <t>22:41:22</t>
  </si>
  <si>
    <t>03:01:00</t>
  </si>
  <si>
    <t>CID138</t>
  </si>
  <si>
    <t>Mike</t>
  </si>
  <si>
    <t>Carter</t>
  </si>
  <si>
    <t>mike.carter@rediffmail.com</t>
  </si>
  <si>
    <t>3971 Ortiz Fields, Lake Jackfort, IA 97132</t>
  </si>
  <si>
    <t>OID6541</t>
  </si>
  <si>
    <t>08:35:05</t>
  </si>
  <si>
    <t>09:50:44</t>
  </si>
  <si>
    <t>OID3550</t>
  </si>
  <si>
    <t>06:30:57</t>
  </si>
  <si>
    <t>08:01:14</t>
  </si>
  <si>
    <t>OID7812</t>
  </si>
  <si>
    <t>09:01:24</t>
  </si>
  <si>
    <t>18:41:50</t>
  </si>
  <si>
    <t>OID4101</t>
  </si>
  <si>
    <t>10:38:44</t>
  </si>
  <si>
    <t>15:48:50</t>
  </si>
  <si>
    <t>OID2704</t>
  </si>
  <si>
    <t>08:44:39</t>
  </si>
  <si>
    <t>13:35:45</t>
  </si>
  <si>
    <t>OID3902</t>
  </si>
  <si>
    <t>10:10:51</t>
  </si>
  <si>
    <t>02:58:17</t>
  </si>
  <si>
    <t>CID142</t>
  </si>
  <si>
    <t>Owens</t>
  </si>
  <si>
    <t>thomas.owens@outlook.com</t>
  </si>
  <si>
    <t>43920 Shaffer Valley Suite 531, South Jerry, MD 67120</t>
  </si>
  <si>
    <t>OID6097</t>
  </si>
  <si>
    <t>06:46:28</t>
  </si>
  <si>
    <t>11:47:41</t>
  </si>
  <si>
    <t>OID2270</t>
  </si>
  <si>
    <t>22:27:32</t>
  </si>
  <si>
    <t>22:31:13</t>
  </si>
  <si>
    <t>OID4575</t>
  </si>
  <si>
    <t>18:42:20</t>
  </si>
  <si>
    <t>00:21:21</t>
  </si>
  <si>
    <t>OID2338</t>
  </si>
  <si>
    <t>22:07:35</t>
  </si>
  <si>
    <t>03:39:43</t>
  </si>
  <si>
    <t>OID9816</t>
  </si>
  <si>
    <t>07:28:42</t>
  </si>
  <si>
    <t>12:34:57</t>
  </si>
  <si>
    <t>CID113</t>
  </si>
  <si>
    <t>Brendan</t>
  </si>
  <si>
    <t>Kelly</t>
  </si>
  <si>
    <t>brendan.kelly@rediffmail.com</t>
  </si>
  <si>
    <t>688 Donald Oval Suite 089, Shepardport, CA 50844</t>
  </si>
  <si>
    <t>OID1586</t>
  </si>
  <si>
    <t>14:01:51</t>
  </si>
  <si>
    <t>23:41:13</t>
  </si>
  <si>
    <t>OID9630</t>
  </si>
  <si>
    <t>20:50:23</t>
  </si>
  <si>
    <t>01:51:44</t>
  </si>
  <si>
    <t>CID102</t>
  </si>
  <si>
    <t>Jessica</t>
  </si>
  <si>
    <t>Ruiz</t>
  </si>
  <si>
    <t>jessica.ruiz@rediffmail.com</t>
  </si>
  <si>
    <t>02370 Laura Station Suite 309, Brandonville, DE 18875</t>
  </si>
  <si>
    <t>OID8034</t>
  </si>
  <si>
    <t>08:30:48</t>
  </si>
  <si>
    <t>01:26:28</t>
  </si>
  <si>
    <t>OID4815</t>
  </si>
  <si>
    <t>05:34:02</t>
  </si>
  <si>
    <t>15:11:50</t>
  </si>
  <si>
    <t>OID1898</t>
  </si>
  <si>
    <t>22:30:30</t>
  </si>
  <si>
    <t>23:12:23</t>
  </si>
  <si>
    <t>OID7454</t>
  </si>
  <si>
    <t>06:13:30</t>
  </si>
  <si>
    <t>00:33:32</t>
  </si>
  <si>
    <t>CID117</t>
  </si>
  <si>
    <t>Hannah</t>
  </si>
  <si>
    <t>Gutierrez</t>
  </si>
  <si>
    <t>hannah.gutierrez@yahoo.com</t>
  </si>
  <si>
    <t>2420 David Manors, Jessicaland, CT 41698</t>
  </si>
  <si>
    <t>OID2597</t>
  </si>
  <si>
    <t>14:11:09</t>
  </si>
  <si>
    <t>00:33:26</t>
  </si>
  <si>
    <t>CID154</t>
  </si>
  <si>
    <t>Casey</t>
  </si>
  <si>
    <t>angela.casey@gmail.com</t>
  </si>
  <si>
    <t>089 Farley Terrace, Thomashaven, MT 56607</t>
  </si>
  <si>
    <t>OID6600</t>
  </si>
  <si>
    <t>22:46:20</t>
  </si>
  <si>
    <t>15:31:26</t>
  </si>
  <si>
    <t>OID3490</t>
  </si>
  <si>
    <t>03:47:08</t>
  </si>
  <si>
    <t>03:23:26</t>
  </si>
  <si>
    <t>OID5561</t>
  </si>
  <si>
    <t>07:21:30</t>
  </si>
  <si>
    <t>09:57:13</t>
  </si>
  <si>
    <t>OID8830</t>
  </si>
  <si>
    <t>16:49:20</t>
  </si>
  <si>
    <t>22:40:50</t>
  </si>
  <si>
    <t>OID9527</t>
  </si>
  <si>
    <t>16:59:25</t>
  </si>
  <si>
    <t>13:29:40</t>
  </si>
  <si>
    <t>OID1067</t>
  </si>
  <si>
    <t>06:15:44</t>
  </si>
  <si>
    <t>09:11:07</t>
  </si>
  <si>
    <t>OID2119</t>
  </si>
  <si>
    <t>17:29:54</t>
  </si>
  <si>
    <t>07:27:00</t>
  </si>
  <si>
    <t>OID5802</t>
  </si>
  <si>
    <t>05:25:01</t>
  </si>
  <si>
    <t>02:19:52</t>
  </si>
  <si>
    <t>OID4569</t>
  </si>
  <si>
    <t>00:49:15</t>
  </si>
  <si>
    <t>07:05:22</t>
  </si>
  <si>
    <t>OID1508</t>
  </si>
  <si>
    <t>10:13:34</t>
  </si>
  <si>
    <t>00:06:39</t>
  </si>
  <si>
    <t>OID3969</t>
  </si>
  <si>
    <t>22:48:36</t>
  </si>
  <si>
    <t>11:30:05</t>
  </si>
  <si>
    <t>OID8974</t>
  </si>
  <si>
    <t>03:37:20</t>
  </si>
  <si>
    <t>08:01:11</t>
  </si>
  <si>
    <t>OID6987</t>
  </si>
  <si>
    <t>23:47:53</t>
  </si>
  <si>
    <t>00:49:45</t>
  </si>
  <si>
    <t>OID5834</t>
  </si>
  <si>
    <t>15:54:45</t>
  </si>
  <si>
    <t>19:22:50</t>
  </si>
  <si>
    <t>OID3980</t>
  </si>
  <si>
    <t>21:10:06</t>
  </si>
  <si>
    <t>08:42:57</t>
  </si>
  <si>
    <t>OID9700</t>
  </si>
  <si>
    <t>17:39:16</t>
  </si>
  <si>
    <t>05:28:25</t>
  </si>
  <si>
    <t>OID1135</t>
  </si>
  <si>
    <t>21:59:14</t>
  </si>
  <si>
    <t>00:34:58</t>
  </si>
  <si>
    <t>OID9451</t>
  </si>
  <si>
    <t>21:47:08</t>
  </si>
  <si>
    <t>12:42:34</t>
  </si>
  <si>
    <t>OID4659</t>
  </si>
  <si>
    <t>00:57:26</t>
  </si>
  <si>
    <t>23:16:52</t>
  </si>
  <si>
    <t>CID141</t>
  </si>
  <si>
    <t>Megan</t>
  </si>
  <si>
    <t>Hunt</t>
  </si>
  <si>
    <t>megan.hunt@rediffmail.com</t>
  </si>
  <si>
    <t>03765 Velazquez Knoll Suite 478, Richardshire, UT 17200</t>
  </si>
  <si>
    <t>OID7205</t>
  </si>
  <si>
    <t>21:16:04</t>
  </si>
  <si>
    <t>10:41:25</t>
  </si>
  <si>
    <t>OID9735</t>
  </si>
  <si>
    <t>20:03:28</t>
  </si>
  <si>
    <t>11:16:12</t>
  </si>
  <si>
    <t>CID122</t>
  </si>
  <si>
    <t>Jared</t>
  </si>
  <si>
    <t>Horn</t>
  </si>
  <si>
    <t>jared.horn@outlook.com</t>
  </si>
  <si>
    <t>43325 Barbara Tunnel, Port James, LA 16246</t>
  </si>
  <si>
    <t>OID3358</t>
  </si>
  <si>
    <t>15:38:50</t>
  </si>
  <si>
    <t>12:50:53</t>
  </si>
  <si>
    <t>OID4719</t>
  </si>
  <si>
    <t>03:13:28</t>
  </si>
  <si>
    <t>07:58:28</t>
  </si>
  <si>
    <t>OID8203</t>
  </si>
  <si>
    <t>12:54:20</t>
  </si>
  <si>
    <t>17:32:38</t>
  </si>
  <si>
    <t>CID131</t>
  </si>
  <si>
    <t>Veronica</t>
  </si>
  <si>
    <t>veronica.lopez@gmail.com</t>
  </si>
  <si>
    <t>660 Karen Station Apt. 887, Allenside, ID 03170</t>
  </si>
  <si>
    <t>OID2353</t>
  </si>
  <si>
    <t>15:59:36</t>
  </si>
  <si>
    <t>07:38:19</t>
  </si>
  <si>
    <t>OID5255</t>
  </si>
  <si>
    <t>19:52:34</t>
  </si>
  <si>
    <t>07:40:09</t>
  </si>
  <si>
    <t>CID157</t>
  </si>
  <si>
    <t>Benson</t>
  </si>
  <si>
    <t>sarah.benson@outlook.com</t>
  </si>
  <si>
    <t>5399 Hayes Well, West Pennystad, IL 93798</t>
  </si>
  <si>
    <t>OID7946</t>
  </si>
  <si>
    <t>20:27:13</t>
  </si>
  <si>
    <t>22:27:12</t>
  </si>
  <si>
    <t>OID1159</t>
  </si>
  <si>
    <t>04:24:31</t>
  </si>
  <si>
    <t>06:44:34</t>
  </si>
  <si>
    <t>OID5186</t>
  </si>
  <si>
    <t>05:26:44</t>
  </si>
  <si>
    <t>06:17:48</t>
  </si>
  <si>
    <t>OID7156</t>
  </si>
  <si>
    <t>13:33:00</t>
  </si>
  <si>
    <t>16:40:47</t>
  </si>
  <si>
    <t>OID3574</t>
  </si>
  <si>
    <t>22:42:24</t>
  </si>
  <si>
    <t>19:19:52</t>
  </si>
  <si>
    <t>OID1477</t>
  </si>
  <si>
    <t>07:28:15</t>
  </si>
  <si>
    <t>12:59:43</t>
  </si>
  <si>
    <t>OID2944</t>
  </si>
  <si>
    <t>05:37:56</t>
  </si>
  <si>
    <t>15:40:22</t>
  </si>
  <si>
    <t>OID5130</t>
  </si>
  <si>
    <t>20:10:43</t>
  </si>
  <si>
    <t>08:44:22</t>
  </si>
  <si>
    <t>OID7754</t>
  </si>
  <si>
    <t>12:34:36</t>
  </si>
  <si>
    <t>10:14:17</t>
  </si>
  <si>
    <t>OID1246</t>
  </si>
  <si>
    <t>05:06:18</t>
  </si>
  <si>
    <t>20:00:01</t>
  </si>
  <si>
    <t>OID8680</t>
  </si>
  <si>
    <t>14:47:52</t>
  </si>
  <si>
    <t>17:06:11</t>
  </si>
  <si>
    <t>OID7102</t>
  </si>
  <si>
    <t>20:27:42</t>
  </si>
  <si>
    <t>10:15:00</t>
  </si>
  <si>
    <t>OID7555</t>
  </si>
  <si>
    <t>13:24:08</t>
  </si>
  <si>
    <t>07:39:38</t>
  </si>
  <si>
    <t>OID3165</t>
  </si>
  <si>
    <t>09:58:35</t>
  </si>
  <si>
    <t>14:02:18</t>
  </si>
  <si>
    <t>OID9628</t>
  </si>
  <si>
    <t>06:20:30</t>
  </si>
  <si>
    <t>20:45:00</t>
  </si>
  <si>
    <t>OID9782</t>
  </si>
  <si>
    <t>17:53:01</t>
  </si>
  <si>
    <t>05:26:03</t>
  </si>
  <si>
    <t>OID7302</t>
  </si>
  <si>
    <t>03:43:05</t>
  </si>
  <si>
    <t>17:57:56</t>
  </si>
  <si>
    <t>OID4580</t>
  </si>
  <si>
    <t>02:56:56</t>
  </si>
  <si>
    <t>11:28:09</t>
  </si>
  <si>
    <t>OID7954</t>
  </si>
  <si>
    <t>04:29:06</t>
  </si>
  <si>
    <t>22:44:53</t>
  </si>
  <si>
    <t>OID6246</t>
  </si>
  <si>
    <t>10:04:49</t>
  </si>
  <si>
    <t>22:07:13</t>
  </si>
  <si>
    <t>OID5671</t>
  </si>
  <si>
    <t>23:44:50</t>
  </si>
  <si>
    <t>04:23:25</t>
  </si>
  <si>
    <t>OID3145</t>
  </si>
  <si>
    <t>17:40:16</t>
  </si>
  <si>
    <t>19:38:50</t>
  </si>
  <si>
    <t>OID8575</t>
  </si>
  <si>
    <t>09:51:24</t>
  </si>
  <si>
    <t>00:10:27</t>
  </si>
  <si>
    <t>OID7910</t>
  </si>
  <si>
    <t>05:56:42</t>
  </si>
  <si>
    <t>03:42:23</t>
  </si>
  <si>
    <t>OID1179</t>
  </si>
  <si>
    <t>06:33:59</t>
  </si>
  <si>
    <t>13:29:05</t>
  </si>
  <si>
    <t>OID1041</t>
  </si>
  <si>
    <t>01:23:40</t>
  </si>
  <si>
    <t>19:01:55</t>
  </si>
  <si>
    <t>OID1693</t>
  </si>
  <si>
    <t>18:29:39</t>
  </si>
  <si>
    <t>02:01:44</t>
  </si>
  <si>
    <t>OID8609</t>
  </si>
  <si>
    <t>13:33:06</t>
  </si>
  <si>
    <t>04:01:49</t>
  </si>
  <si>
    <t>OID9578</t>
  </si>
  <si>
    <t>15:56:55</t>
  </si>
  <si>
    <t>18:16:24</t>
  </si>
  <si>
    <t>OID5985</t>
  </si>
  <si>
    <t>14:57:23</t>
  </si>
  <si>
    <t>09:49:51</t>
  </si>
  <si>
    <t>OID2571</t>
  </si>
  <si>
    <t>19:33:36</t>
  </si>
  <si>
    <t>06:30:50</t>
  </si>
  <si>
    <t>OID6045</t>
  </si>
  <si>
    <t>17:53:46</t>
  </si>
  <si>
    <t>18:13:08</t>
  </si>
  <si>
    <t>OID1336</t>
  </si>
  <si>
    <t>13:40:58</t>
  </si>
  <si>
    <t>02:14:28</t>
  </si>
  <si>
    <t>OID7117</t>
  </si>
  <si>
    <t>04:49:20</t>
  </si>
  <si>
    <t>16:13:35</t>
  </si>
  <si>
    <t>OID3749</t>
  </si>
  <si>
    <t>16:34:44</t>
  </si>
  <si>
    <t>16:28:56</t>
  </si>
  <si>
    <t>OID7008</t>
  </si>
  <si>
    <t>04:12:20</t>
  </si>
  <si>
    <t>01:46:13</t>
  </si>
  <si>
    <t>OID8913</t>
  </si>
  <si>
    <t>20:53:04</t>
  </si>
  <si>
    <t>00:48:16</t>
  </si>
  <si>
    <t>CID164</t>
  </si>
  <si>
    <t>Lane</t>
  </si>
  <si>
    <t>lauren.lane@gmail.com</t>
  </si>
  <si>
    <t>56985 Sergio Extensions, Port Albert, CO 02898</t>
  </si>
  <si>
    <t>OID1597</t>
  </si>
  <si>
    <t>05:27:44</t>
  </si>
  <si>
    <t>21:00:17</t>
  </si>
  <si>
    <t>OID4412</t>
  </si>
  <si>
    <t>06:35:14</t>
  </si>
  <si>
    <t>23:36:21</t>
  </si>
  <si>
    <t>OID3900</t>
  </si>
  <si>
    <t>20:14:30</t>
  </si>
  <si>
    <t>12:31:00</t>
  </si>
  <si>
    <t>OID9756</t>
  </si>
  <si>
    <t>06:46:07</t>
  </si>
  <si>
    <t>19:17:45</t>
  </si>
  <si>
    <t>CID151</t>
  </si>
  <si>
    <t>Richmond</t>
  </si>
  <si>
    <t>william.richmond@outlook.com</t>
  </si>
  <si>
    <t>4021 Brown Orchard Apt. 026, Christinahaven, OK 18499</t>
  </si>
  <si>
    <t>OID8307</t>
  </si>
  <si>
    <t>23:19:47</t>
  </si>
  <si>
    <t>16:06:37</t>
  </si>
  <si>
    <t>OID5575</t>
  </si>
  <si>
    <t>12:50:48</t>
  </si>
  <si>
    <t>19:56:33</t>
  </si>
  <si>
    <t>OID5883</t>
  </si>
  <si>
    <t>21:08:26</t>
  </si>
  <si>
    <t>09:20:03</t>
  </si>
  <si>
    <t>OID6340</t>
  </si>
  <si>
    <t>10:50:30</t>
  </si>
  <si>
    <t>16:59:14</t>
  </si>
  <si>
    <t>OID2501</t>
  </si>
  <si>
    <t>11:53:55</t>
  </si>
  <si>
    <t>00:56:01</t>
  </si>
  <si>
    <t>OID6973</t>
  </si>
  <si>
    <t>04:03:12</t>
  </si>
  <si>
    <t>13:27:06</t>
  </si>
  <si>
    <t>OID6597</t>
  </si>
  <si>
    <t>19:44:28</t>
  </si>
  <si>
    <t>02:51:48</t>
  </si>
  <si>
    <t>OID4840</t>
  </si>
  <si>
    <t>12:38:37</t>
  </si>
  <si>
    <t>19:14:57</t>
  </si>
  <si>
    <t>OID5389</t>
  </si>
  <si>
    <t>14:52:37</t>
  </si>
  <si>
    <t>09:59:33</t>
  </si>
  <si>
    <t>OID8649</t>
  </si>
  <si>
    <t>08:43:40</t>
  </si>
  <si>
    <t>05:13:28</t>
  </si>
  <si>
    <t>OID2779</t>
  </si>
  <si>
    <t>03:11:02</t>
  </si>
  <si>
    <t>19:39:57</t>
  </si>
  <si>
    <t>OID4185</t>
  </si>
  <si>
    <t>17:17:44</t>
  </si>
  <si>
    <t>11:45:52</t>
  </si>
  <si>
    <t>OID1243</t>
  </si>
  <si>
    <t>17:27:56</t>
  </si>
  <si>
    <t>05:22:25</t>
  </si>
  <si>
    <t>OID4147</t>
  </si>
  <si>
    <t>03:23:04</t>
  </si>
  <si>
    <t>05:02:16</t>
  </si>
  <si>
    <t>OID3681</t>
  </si>
  <si>
    <t>08:45:23</t>
  </si>
  <si>
    <t>15:13:07</t>
  </si>
  <si>
    <t>OID5229</t>
  </si>
  <si>
    <t>08:36:31</t>
  </si>
  <si>
    <t>19:33:15</t>
  </si>
  <si>
    <t>OID9990</t>
  </si>
  <si>
    <t>21:53:54</t>
  </si>
  <si>
    <t>23:00:06</t>
  </si>
  <si>
    <t>OID1756</t>
  </si>
  <si>
    <t>10:58:30</t>
  </si>
  <si>
    <t>13:36:46</t>
  </si>
  <si>
    <t>OID1866</t>
  </si>
  <si>
    <t>05:53:55</t>
  </si>
  <si>
    <t>02:00:46</t>
  </si>
  <si>
    <t>OID2619</t>
  </si>
  <si>
    <t>11:51:15</t>
  </si>
  <si>
    <t>10:20:47</t>
  </si>
  <si>
    <t>OID2505</t>
  </si>
  <si>
    <t>12:37:13</t>
  </si>
  <si>
    <t>14:41:40</t>
  </si>
  <si>
    <t>OID7850</t>
  </si>
  <si>
    <t>14:59:43</t>
  </si>
  <si>
    <t>06:29:31</t>
  </si>
  <si>
    <t>OID1966</t>
  </si>
  <si>
    <t>14:04:30</t>
  </si>
  <si>
    <t>02:17:23</t>
  </si>
  <si>
    <t>OID3837</t>
  </si>
  <si>
    <t>19:09:08</t>
  </si>
  <si>
    <t>23:23:19</t>
  </si>
  <si>
    <t>OID9187</t>
  </si>
  <si>
    <t>23:47:36</t>
  </si>
  <si>
    <t>04:39:51</t>
  </si>
  <si>
    <t>OID3760</t>
  </si>
  <si>
    <t>09:05:02</t>
  </si>
  <si>
    <t>05:31:50</t>
  </si>
  <si>
    <t>OID7065</t>
  </si>
  <si>
    <t>09:15:42</t>
  </si>
  <si>
    <t>09:33:25</t>
  </si>
  <si>
    <t>OID6906</t>
  </si>
  <si>
    <t>16:29:18</t>
  </si>
  <si>
    <t>19:58:19</t>
  </si>
  <si>
    <t>OID7996</t>
  </si>
  <si>
    <t>17:23:49</t>
  </si>
  <si>
    <t>OID9247</t>
  </si>
  <si>
    <t>06:51:49</t>
  </si>
  <si>
    <t>08:40:53</t>
  </si>
  <si>
    <t>OID7303</t>
  </si>
  <si>
    <t>23:40:03</t>
  </si>
  <si>
    <t>09:33:08</t>
  </si>
  <si>
    <t>OID2173</t>
  </si>
  <si>
    <t>00:41:18</t>
  </si>
  <si>
    <t>09:19:40</t>
  </si>
  <si>
    <t>OID5367</t>
  </si>
  <si>
    <t>23:27:24</t>
  </si>
  <si>
    <t>06:00:22</t>
  </si>
  <si>
    <t>OID9748</t>
  </si>
  <si>
    <t>02:46:27</t>
  </si>
  <si>
    <t>06:40:47</t>
  </si>
  <si>
    <t>OID6469</t>
  </si>
  <si>
    <t>06:59:53</t>
  </si>
  <si>
    <t>21:07:49</t>
  </si>
  <si>
    <t>OID1013</t>
  </si>
  <si>
    <t>20:28:31</t>
  </si>
  <si>
    <t>22:26:18</t>
  </si>
  <si>
    <t>OID1219</t>
  </si>
  <si>
    <t>13:39:02</t>
  </si>
  <si>
    <t>06:39:28</t>
  </si>
  <si>
    <t>OID9988</t>
  </si>
  <si>
    <t>09:27:52</t>
  </si>
  <si>
    <t>20:53:18</t>
  </si>
  <si>
    <t>OID1669</t>
  </si>
  <si>
    <t>04:59:13</t>
  </si>
  <si>
    <t>16:22:11</t>
  </si>
  <si>
    <t>OID7329</t>
  </si>
  <si>
    <t>01:19:42</t>
  </si>
  <si>
    <t>01:52:14</t>
  </si>
  <si>
    <t>OID2873</t>
  </si>
  <si>
    <t>05:54:36</t>
  </si>
  <si>
    <t>17:18:51</t>
  </si>
  <si>
    <t>OID4932</t>
  </si>
  <si>
    <t>06:50:14</t>
  </si>
  <si>
    <t>13:55:34</t>
  </si>
  <si>
    <t>OID4169</t>
  </si>
  <si>
    <t>11:52:12</t>
  </si>
  <si>
    <t>23:25:32</t>
  </si>
  <si>
    <t>OID6945</t>
  </si>
  <si>
    <t>19:37:21</t>
  </si>
  <si>
    <t>03:13:08</t>
  </si>
  <si>
    <t>OID6794</t>
  </si>
  <si>
    <t>15:34:31</t>
  </si>
  <si>
    <t>10:35:02</t>
  </si>
  <si>
    <t>OID2412</t>
  </si>
  <si>
    <t>14:35:45</t>
  </si>
  <si>
    <t>07:09:27</t>
  </si>
  <si>
    <t>CID114</t>
  </si>
  <si>
    <t>Crane</t>
  </si>
  <si>
    <t>lauren.crane@yahoo.com</t>
  </si>
  <si>
    <t>30313 Reyes Parkways Suite 392, Port Bradley, SC 24078</t>
  </si>
  <si>
    <t>OID8162</t>
  </si>
  <si>
    <t>07:24:54</t>
  </si>
  <si>
    <t>03:15:28</t>
  </si>
  <si>
    <t>OID8860</t>
  </si>
  <si>
    <t>06:00:55</t>
  </si>
  <si>
    <t>22:23:18</t>
  </si>
  <si>
    <t>OID2523</t>
  </si>
  <si>
    <t>05:46:53</t>
  </si>
  <si>
    <t>01:30:58</t>
  </si>
  <si>
    <t>OID7382</t>
  </si>
  <si>
    <t>08:34:53</t>
  </si>
  <si>
    <t>13:26:32</t>
  </si>
  <si>
    <t>OID7593</t>
  </si>
  <si>
    <t>15:18:11</t>
  </si>
  <si>
    <t>23:05:05</t>
  </si>
  <si>
    <t>OID9980</t>
  </si>
  <si>
    <t>11:00:03</t>
  </si>
  <si>
    <t>15:17:48</t>
  </si>
  <si>
    <t>OID2440</t>
  </si>
  <si>
    <t>08:26:50</t>
  </si>
  <si>
    <t>19:28:55</t>
  </si>
  <si>
    <t>OID7256</t>
  </si>
  <si>
    <t>00:24:43</t>
  </si>
  <si>
    <t>08:45:35</t>
  </si>
  <si>
    <t>OID6854</t>
  </si>
  <si>
    <t>10:05:03</t>
  </si>
  <si>
    <t>10:06:44</t>
  </si>
  <si>
    <t>OID9600</t>
  </si>
  <si>
    <t>04:19:31</t>
  </si>
  <si>
    <t>17:52:11</t>
  </si>
  <si>
    <t>OID3186</t>
  </si>
  <si>
    <t>17:14:37</t>
  </si>
  <si>
    <t>12:54:21</t>
  </si>
  <si>
    <t>OID1420</t>
  </si>
  <si>
    <t>18:45:41</t>
  </si>
  <si>
    <t>21:20:42</t>
  </si>
  <si>
    <t>OID4436</t>
  </si>
  <si>
    <t>23:43:28</t>
  </si>
  <si>
    <t>12:35:16</t>
  </si>
  <si>
    <t>OID6410</t>
  </si>
  <si>
    <t>06:38:04</t>
  </si>
  <si>
    <t>08:13:41</t>
  </si>
  <si>
    <t>OID4538</t>
  </si>
  <si>
    <t>12:27:25</t>
  </si>
  <si>
    <t>23:59:41</t>
  </si>
  <si>
    <t>OID8225</t>
  </si>
  <si>
    <t>10:41:43</t>
  </si>
  <si>
    <t>19:20:26</t>
  </si>
  <si>
    <t>OID2099</t>
  </si>
  <si>
    <t>09:19:53</t>
  </si>
  <si>
    <t>14:30:24</t>
  </si>
  <si>
    <t>OID9222</t>
  </si>
  <si>
    <t>11:38:36</t>
  </si>
  <si>
    <t>21:12:03</t>
  </si>
  <si>
    <t>OID3523</t>
  </si>
  <si>
    <t>10:33:52</t>
  </si>
  <si>
    <t>11:21:30</t>
  </si>
  <si>
    <t>OID3834</t>
  </si>
  <si>
    <t>22:42:39</t>
  </si>
  <si>
    <t>23:12:16</t>
  </si>
  <si>
    <t>OID9975</t>
  </si>
  <si>
    <t>09:31:29</t>
  </si>
  <si>
    <t>07:20:39</t>
  </si>
  <si>
    <t>OID6893</t>
  </si>
  <si>
    <t>09:19:46</t>
  </si>
  <si>
    <t>02:07:12</t>
  </si>
  <si>
    <t>OID8192</t>
  </si>
  <si>
    <t>21:14:38</t>
  </si>
  <si>
    <t>OID7904</t>
  </si>
  <si>
    <t>15:58:53</t>
  </si>
  <si>
    <t>14:14:53</t>
  </si>
  <si>
    <t>OID5999</t>
  </si>
  <si>
    <t>17:44:01</t>
  </si>
  <si>
    <t>16:03:33</t>
  </si>
  <si>
    <t>OID7409</t>
  </si>
  <si>
    <t>02:54:23</t>
  </si>
  <si>
    <t>18:15:03</t>
  </si>
  <si>
    <t>OID8708</t>
  </si>
  <si>
    <t>07:05:11</t>
  </si>
  <si>
    <t>OID5745</t>
  </si>
  <si>
    <t>02:16:10</t>
  </si>
  <si>
    <t>06:31:20</t>
  </si>
  <si>
    <t>OID9178</t>
  </si>
  <si>
    <t>18:34:02</t>
  </si>
  <si>
    <t>13:27:30</t>
  </si>
  <si>
    <t>OID2529</t>
  </si>
  <si>
    <t>14:35:39</t>
  </si>
  <si>
    <t>17:37:51</t>
  </si>
  <si>
    <t>OID3125</t>
  </si>
  <si>
    <t>02:52:20</t>
  </si>
  <si>
    <t>04:02:49</t>
  </si>
  <si>
    <t>OID4011</t>
  </si>
  <si>
    <t>10:33:07</t>
  </si>
  <si>
    <t>06:32:27</t>
  </si>
  <si>
    <t>OID1592</t>
  </si>
  <si>
    <t>01:25:50</t>
  </si>
  <si>
    <t>18:04:09</t>
  </si>
  <si>
    <t>OID7667</t>
  </si>
  <si>
    <t>20:10:30</t>
  </si>
  <si>
    <t>15:08:52</t>
  </si>
  <si>
    <t>OID5182</t>
  </si>
  <si>
    <t>03:46:35</t>
  </si>
  <si>
    <t>11:20:17</t>
  </si>
  <si>
    <t>OID1833</t>
  </si>
  <si>
    <t>00:31:47</t>
  </si>
  <si>
    <t>11:06:01</t>
  </si>
  <si>
    <t>OID5190</t>
  </si>
  <si>
    <t>04:04:19</t>
  </si>
  <si>
    <t>00:48:55</t>
  </si>
  <si>
    <t>CID110</t>
  </si>
  <si>
    <t>Katie</t>
  </si>
  <si>
    <t>katie.hicks@rediffmail.com</t>
  </si>
  <si>
    <t>848 William Port, New Marilyn, SD 58000</t>
  </si>
  <si>
    <t>OID4399</t>
  </si>
  <si>
    <t>07:13:46</t>
  </si>
  <si>
    <t>09:05:57</t>
  </si>
  <si>
    <t>OID8104</t>
  </si>
  <si>
    <t>21:07:18</t>
  </si>
  <si>
    <t>00:38:35</t>
  </si>
  <si>
    <t>CID196</t>
  </si>
  <si>
    <t>Regina</t>
  </si>
  <si>
    <t>Hawkins</t>
  </si>
  <si>
    <t>regina.hawkins@rediffmail.com</t>
  </si>
  <si>
    <t>096 Santos Neck Apt. 937, Benjaminmouth, FL 61454</t>
  </si>
  <si>
    <t>OID1054</t>
  </si>
  <si>
    <t>13:31:33</t>
  </si>
  <si>
    <t>02:03:42</t>
  </si>
  <si>
    <t>OID7828</t>
  </si>
  <si>
    <t>00:57:10</t>
  </si>
  <si>
    <t>03:55:32</t>
  </si>
  <si>
    <t>OID5598</t>
  </si>
  <si>
    <t>00:07:15</t>
  </si>
  <si>
    <t>06:30:27</t>
  </si>
  <si>
    <t>OID7417</t>
  </si>
  <si>
    <t>08:47:14</t>
  </si>
  <si>
    <t>19:25:43</t>
  </si>
  <si>
    <t>OID8004</t>
  </si>
  <si>
    <t>12:05:04</t>
  </si>
  <si>
    <t>18:05:47</t>
  </si>
  <si>
    <t>OID7287</t>
  </si>
  <si>
    <t>05:45:27</t>
  </si>
  <si>
    <t>16:20:46</t>
  </si>
  <si>
    <t>CID177</t>
  </si>
  <si>
    <t>Rachel</t>
  </si>
  <si>
    <t>rachel.lopez@outlook.com</t>
  </si>
  <si>
    <t>90435 Bonnie Points Suite 886, Jenniferfurt, WV 20187</t>
  </si>
  <si>
    <t>OID3637</t>
  </si>
  <si>
    <t>18:27:35</t>
  </si>
  <si>
    <t>15:09:01</t>
  </si>
  <si>
    <t>OID2097</t>
  </si>
  <si>
    <t>08:19:07</t>
  </si>
  <si>
    <t>03:55:26</t>
  </si>
  <si>
    <t>OID3388</t>
  </si>
  <si>
    <t>01:16:23</t>
  </si>
  <si>
    <t>21:24:42</t>
  </si>
  <si>
    <t>OID1114</t>
  </si>
  <si>
    <t>07:59:11</t>
  </si>
  <si>
    <t>05:33:08</t>
  </si>
  <si>
    <t>OID3556</t>
  </si>
  <si>
    <t>02:05:06</t>
  </si>
  <si>
    <t>02:03:44</t>
  </si>
  <si>
    <t>OID9404</t>
  </si>
  <si>
    <t>08:18:15</t>
  </si>
  <si>
    <t>08:36:13</t>
  </si>
  <si>
    <t>OID4552</t>
  </si>
  <si>
    <t>12:10:36</t>
  </si>
  <si>
    <t>23:31:23</t>
  </si>
  <si>
    <t>OID8486</t>
  </si>
  <si>
    <t>00:38:36</t>
  </si>
  <si>
    <t>20:13:27</t>
  </si>
  <si>
    <t>OID4240</t>
  </si>
  <si>
    <t>02:46:16</t>
  </si>
  <si>
    <t>09:28:52</t>
  </si>
  <si>
    <t>OID3727</t>
  </si>
  <si>
    <t>07:58:32</t>
  </si>
  <si>
    <t>OID8955</t>
  </si>
  <si>
    <t>05:37:55</t>
  </si>
  <si>
    <t>12:11:43</t>
  </si>
  <si>
    <t>OID1744</t>
  </si>
  <si>
    <t>01:03:02</t>
  </si>
  <si>
    <t>08:40:48</t>
  </si>
  <si>
    <t>OID5831</t>
  </si>
  <si>
    <t>18:12:36</t>
  </si>
  <si>
    <t>04:54:21</t>
  </si>
  <si>
    <t>OID2842</t>
  </si>
  <si>
    <t>15:52:52</t>
  </si>
  <si>
    <t>22:30:31</t>
  </si>
  <si>
    <t>OID1661</t>
  </si>
  <si>
    <t>11:10:43</t>
  </si>
  <si>
    <t>14:43:30</t>
  </si>
  <si>
    <t>OID9123</t>
  </si>
  <si>
    <t>10:50:23</t>
  </si>
  <si>
    <t>10:39:52</t>
  </si>
  <si>
    <t>OID3981</t>
  </si>
  <si>
    <t>12:04:15</t>
  </si>
  <si>
    <t>05:18:08</t>
  </si>
  <si>
    <t>OID6634</t>
  </si>
  <si>
    <t>02:36:45</t>
  </si>
  <si>
    <t>14:57:01</t>
  </si>
  <si>
    <t>CID106</t>
  </si>
  <si>
    <t>Scott</t>
  </si>
  <si>
    <t>scott.jones@yahoo.com</t>
  </si>
  <si>
    <t>086 Kristin Manor Apt. 829, Marissabury, CT 12152</t>
  </si>
  <si>
    <t>OID9069</t>
  </si>
  <si>
    <t>02:29:46</t>
  </si>
  <si>
    <t>13:28:57</t>
  </si>
  <si>
    <t>OID6802</t>
  </si>
  <si>
    <t>03:00:01</t>
  </si>
  <si>
    <t>06:03:03</t>
  </si>
  <si>
    <t>OID4442</t>
  </si>
  <si>
    <t>01:12:34</t>
  </si>
  <si>
    <t>10:01:43</t>
  </si>
  <si>
    <t>OID4995</t>
  </si>
  <si>
    <t>16:46:34</t>
  </si>
  <si>
    <t>04:45:34</t>
  </si>
  <si>
    <t>OID7650</t>
  </si>
  <si>
    <t>12:40:06</t>
  </si>
  <si>
    <t>03:46:12</t>
  </si>
  <si>
    <t>OID5555</t>
  </si>
  <si>
    <t>21:41:18</t>
  </si>
  <si>
    <t>21:10:12</t>
  </si>
  <si>
    <t>OID1769</t>
  </si>
  <si>
    <t>18:51:12</t>
  </si>
  <si>
    <t>01:58:20</t>
  </si>
  <si>
    <t>OID2189</t>
  </si>
  <si>
    <t>16:35:28</t>
  </si>
  <si>
    <t>07:06:38</t>
  </si>
  <si>
    <t>OID9035</t>
  </si>
  <si>
    <t>15:11:02</t>
  </si>
  <si>
    <t>14:16:59</t>
  </si>
  <si>
    <t>OID4219</t>
  </si>
  <si>
    <t>08:03:37</t>
  </si>
  <si>
    <t>13:50:58</t>
  </si>
  <si>
    <t>OID1694</t>
  </si>
  <si>
    <t>04:43:46</t>
  </si>
  <si>
    <t>01:46:40</t>
  </si>
  <si>
    <t>OID7495</t>
  </si>
  <si>
    <t>21:09:31</t>
  </si>
  <si>
    <t>06:09:19</t>
  </si>
  <si>
    <t>OID1080</t>
  </si>
  <si>
    <t>01:04:28</t>
  </si>
  <si>
    <t>16:40:55</t>
  </si>
  <si>
    <t>OID4539</t>
  </si>
  <si>
    <t>15:06:18</t>
  </si>
  <si>
    <t>03:50:06</t>
  </si>
  <si>
    <t>OID8093</t>
  </si>
  <si>
    <t>15:43:42</t>
  </si>
  <si>
    <t>15:41:25</t>
  </si>
  <si>
    <t>OID1707</t>
  </si>
  <si>
    <t>21:05:38</t>
  </si>
  <si>
    <t>17:28:07</t>
  </si>
  <si>
    <t>OID5703</t>
  </si>
  <si>
    <t>16:01:40</t>
  </si>
  <si>
    <t>02:24:54</t>
  </si>
  <si>
    <t>OID7457</t>
  </si>
  <si>
    <t>13:25:17</t>
  </si>
  <si>
    <t>13:52:42</t>
  </si>
  <si>
    <t>CID197</t>
  </si>
  <si>
    <t>Jacobs</t>
  </si>
  <si>
    <t>gary.jacobs@gmail.com</t>
  </si>
  <si>
    <t>USNV Williams, FPO AP 23197</t>
  </si>
  <si>
    <t>OID4784</t>
  </si>
  <si>
    <t>07:19:13</t>
  </si>
  <si>
    <t>04:47:20</t>
  </si>
  <si>
    <t>OID1726</t>
  </si>
  <si>
    <t>11:30:19</t>
  </si>
  <si>
    <t>02:44:11</t>
  </si>
  <si>
    <t>OID1073</t>
  </si>
  <si>
    <t>03:51:26</t>
  </si>
  <si>
    <t>12:59:30</t>
  </si>
  <si>
    <t>OID7443</t>
  </si>
  <si>
    <t>15:44:41</t>
  </si>
  <si>
    <t>03:08:53</t>
  </si>
  <si>
    <t>OID1025</t>
  </si>
  <si>
    <t>02:29:08</t>
  </si>
  <si>
    <t>01:57:29</t>
  </si>
  <si>
    <t>OID8826</t>
  </si>
  <si>
    <t>04:40:06</t>
  </si>
  <si>
    <t>02:03:57</t>
  </si>
  <si>
    <t>OID6254</t>
  </si>
  <si>
    <t>01:51:31</t>
  </si>
  <si>
    <t>05:04:36</t>
  </si>
  <si>
    <t>OID7518</t>
  </si>
  <si>
    <t>11:55:04</t>
  </si>
  <si>
    <t>05:45:33</t>
  </si>
  <si>
    <t>OID4491</t>
  </si>
  <si>
    <t>16:42:26</t>
  </si>
  <si>
    <t>08:22:44</t>
  </si>
  <si>
    <t>CID146</t>
  </si>
  <si>
    <t>Janice</t>
  </si>
  <si>
    <t>Gordon</t>
  </si>
  <si>
    <t>janice.gordon@yahoo.com</t>
  </si>
  <si>
    <t>5812 Evelyn Mountains Suite 845, Ortiztown, MN 86166</t>
  </si>
  <si>
    <t>OID8288</t>
  </si>
  <si>
    <t>02:55:29</t>
  </si>
  <si>
    <t>04:21:49</t>
  </si>
  <si>
    <t>OID6504</t>
  </si>
  <si>
    <t>12:05:41</t>
  </si>
  <si>
    <t>04:38:50</t>
  </si>
  <si>
    <t>OID2595</t>
  </si>
  <si>
    <t>03:10:32</t>
  </si>
  <si>
    <t>11:44:11</t>
  </si>
  <si>
    <t>OID9478</t>
  </si>
  <si>
    <t>17:54:41</t>
  </si>
  <si>
    <t>08:42:42</t>
  </si>
  <si>
    <t>OID1169</t>
  </si>
  <si>
    <t>07:11:33</t>
  </si>
  <si>
    <t>03:38:41</t>
  </si>
  <si>
    <t>OID6775</t>
  </si>
  <si>
    <t>06:54:03</t>
  </si>
  <si>
    <t>01:13:09</t>
  </si>
  <si>
    <t>OID2383</t>
  </si>
  <si>
    <t>04:44:42</t>
  </si>
  <si>
    <t>02:15:04</t>
  </si>
  <si>
    <t>CID167</t>
  </si>
  <si>
    <t>Diana</t>
  </si>
  <si>
    <t>French</t>
  </si>
  <si>
    <t>diana.french@outlook.com</t>
  </si>
  <si>
    <t>163 Jeffrey Drive, South Mary, NH 23999</t>
  </si>
  <si>
    <t>OID3750</t>
  </si>
  <si>
    <t>04:44:04</t>
  </si>
  <si>
    <t>21:00:20</t>
  </si>
  <si>
    <t>OID4837</t>
  </si>
  <si>
    <t>22:42:38</t>
  </si>
  <si>
    <t>12:41:59</t>
  </si>
  <si>
    <t>OID6975</t>
  </si>
  <si>
    <t>18:23:17</t>
  </si>
  <si>
    <t>19:23:44</t>
  </si>
  <si>
    <t>OID1869</t>
  </si>
  <si>
    <t>12:14:10</t>
  </si>
  <si>
    <t>03:34:04</t>
  </si>
  <si>
    <t>OID3921</t>
  </si>
  <si>
    <t>04:53:45</t>
  </si>
  <si>
    <t>05:48:22</t>
  </si>
  <si>
    <t>OID4056</t>
  </si>
  <si>
    <t>10:23:23</t>
  </si>
  <si>
    <t>21:18:46</t>
  </si>
  <si>
    <t>OID4907</t>
  </si>
  <si>
    <t>20:13:44</t>
  </si>
  <si>
    <t>09:06:18</t>
  </si>
  <si>
    <t>OID9684</t>
  </si>
  <si>
    <t>12:43:07</t>
  </si>
  <si>
    <t>05:09:35</t>
  </si>
  <si>
    <t>OID2044</t>
  </si>
  <si>
    <t>22:16:48</t>
  </si>
  <si>
    <t>16:09:18</t>
  </si>
  <si>
    <t>OID6436</t>
  </si>
  <si>
    <t>13:00:52</t>
  </si>
  <si>
    <t>00:18:32</t>
  </si>
  <si>
    <t>OID9374</t>
  </si>
  <si>
    <t>15:33:07</t>
  </si>
  <si>
    <t>15:51:15</t>
  </si>
  <si>
    <t>OID2767</t>
  </si>
  <si>
    <t>16:58:37</t>
  </si>
  <si>
    <t>01:05:53</t>
  </si>
  <si>
    <t>OID8981</t>
  </si>
  <si>
    <t>15:06:44</t>
  </si>
  <si>
    <t>14:31:29</t>
  </si>
  <si>
    <t>OID2246</t>
  </si>
  <si>
    <t>05:36:29</t>
  </si>
  <si>
    <t>07:21:52</t>
  </si>
  <si>
    <t>OID1779</t>
  </si>
  <si>
    <t>12:50:57</t>
  </si>
  <si>
    <t>01:24:34</t>
  </si>
  <si>
    <t>OID2005</t>
  </si>
  <si>
    <t>12:10:00</t>
  </si>
  <si>
    <t>09:31:36</t>
  </si>
  <si>
    <t>OID6485</t>
  </si>
  <si>
    <t>13:21:50</t>
  </si>
  <si>
    <t>18:29:46</t>
  </si>
  <si>
    <t>OID6319</t>
  </si>
  <si>
    <t>09:32:58</t>
  </si>
  <si>
    <t>OID9461</t>
  </si>
  <si>
    <t>14:34:14</t>
  </si>
  <si>
    <t>17:45:57</t>
  </si>
  <si>
    <t>OID4522</t>
  </si>
  <si>
    <t>00:44:05</t>
  </si>
  <si>
    <t>19:29:03</t>
  </si>
  <si>
    <t>OID9862</t>
  </si>
  <si>
    <t>05:02:45</t>
  </si>
  <si>
    <t>14:00:57</t>
  </si>
  <si>
    <t>OID6361</t>
  </si>
  <si>
    <t>16:28:38</t>
  </si>
  <si>
    <t>01:06:14</t>
  </si>
  <si>
    <t>OID7238</t>
  </si>
  <si>
    <t>08:22:36</t>
  </si>
  <si>
    <t>07:46:17</t>
  </si>
  <si>
    <t>OID8446</t>
  </si>
  <si>
    <t>02:53:11</t>
  </si>
  <si>
    <t>03:53:13</t>
  </si>
  <si>
    <t>OID9459</t>
  </si>
  <si>
    <t>08:17:07</t>
  </si>
  <si>
    <t>07:01:18</t>
  </si>
  <si>
    <t>OID6433</t>
  </si>
  <si>
    <t>01:02:33</t>
  </si>
  <si>
    <t>03:31:58</t>
  </si>
  <si>
    <t>OID3128</t>
  </si>
  <si>
    <t>22:17:42</t>
  </si>
  <si>
    <t>09:42:50</t>
  </si>
  <si>
    <t>OID8972</t>
  </si>
  <si>
    <t>07:36:32</t>
  </si>
  <si>
    <t>09:34:23</t>
  </si>
  <si>
    <t>OID5970</t>
  </si>
  <si>
    <t>07:39:59</t>
  </si>
  <si>
    <t>04:52:06</t>
  </si>
  <si>
    <t>OID3491</t>
  </si>
  <si>
    <t>18:04:56</t>
  </si>
  <si>
    <t>06:42:40</t>
  </si>
  <si>
    <t>OID6651</t>
  </si>
  <si>
    <t>03:18:41</t>
  </si>
  <si>
    <t>01:31:23</t>
  </si>
  <si>
    <t>OID2861</t>
  </si>
  <si>
    <t>20:38:05</t>
  </si>
  <si>
    <t>02:58:16</t>
  </si>
  <si>
    <t>OID3302</t>
  </si>
  <si>
    <t>08:32:59</t>
  </si>
  <si>
    <t>03:32:40</t>
  </si>
  <si>
    <t>OID9922</t>
  </si>
  <si>
    <t>12:42:28</t>
  </si>
  <si>
    <t>16:13:49</t>
  </si>
  <si>
    <t>OID4613</t>
  </si>
  <si>
    <t>10:24:01</t>
  </si>
  <si>
    <t>06:25:35</t>
  </si>
  <si>
    <t>OID7483</t>
  </si>
  <si>
    <t>12:19:38</t>
  </si>
  <si>
    <t>00:24:54</t>
  </si>
  <si>
    <t>OID7418</t>
  </si>
  <si>
    <t>01:15:18</t>
  </si>
  <si>
    <t>16:11:48</t>
  </si>
  <si>
    <t>OID3361</t>
  </si>
  <si>
    <t>09:50:05</t>
  </si>
  <si>
    <t>23:38:57</t>
  </si>
  <si>
    <t>OID7475</t>
  </si>
  <si>
    <t>08:30:03</t>
  </si>
  <si>
    <t>17:07:47</t>
  </si>
  <si>
    <t>OID6847</t>
  </si>
  <si>
    <t>17:02:09</t>
  </si>
  <si>
    <t>05:55:32</t>
  </si>
  <si>
    <t>Order_Amount</t>
  </si>
  <si>
    <t>Row Labels</t>
  </si>
  <si>
    <t>Grand Total</t>
  </si>
  <si>
    <t>Sum of Quantity</t>
  </si>
  <si>
    <t>SALES</t>
  </si>
  <si>
    <t>Sum of SALES</t>
  </si>
  <si>
    <t>Discount</t>
  </si>
  <si>
    <t>Amount_after_discount</t>
  </si>
  <si>
    <t>Final_Amount</t>
  </si>
  <si>
    <t>Days_to_Deliver</t>
  </si>
  <si>
    <t>Amount</t>
  </si>
  <si>
    <t>Discount_Percent</t>
  </si>
  <si>
    <t>Discounted_Amount</t>
  </si>
  <si>
    <t>Amount_with_Delivery_Charge</t>
  </si>
  <si>
    <t>Full_Name</t>
  </si>
  <si>
    <t>Delivery_Status</t>
  </si>
  <si>
    <t>Amy Ellis</t>
  </si>
  <si>
    <t>Brendan Kelly</t>
  </si>
  <si>
    <t>Erin Miller</t>
  </si>
  <si>
    <t>Jodi Whitney</t>
  </si>
  <si>
    <t>John Ramirez</t>
  </si>
  <si>
    <t>Lauren Crane</t>
  </si>
  <si>
    <t>Lauren Long</t>
  </si>
  <si>
    <t>Mark Summers</t>
  </si>
  <si>
    <t>Mary Knight</t>
  </si>
  <si>
    <t>Sarah Butler</t>
  </si>
  <si>
    <t>Sum of Amount_with_Delivery_Charge</t>
  </si>
  <si>
    <t>Count of Product_ID</t>
  </si>
  <si>
    <t>Count of Order_ID</t>
  </si>
  <si>
    <t>Count of Coupon_Code</t>
  </si>
  <si>
    <t>Order_Month</t>
  </si>
  <si>
    <t>January</t>
  </si>
  <si>
    <t>February</t>
  </si>
  <si>
    <t>March</t>
  </si>
  <si>
    <t>April</t>
  </si>
  <si>
    <t>May</t>
  </si>
  <si>
    <t>June</t>
  </si>
  <si>
    <t>July</t>
  </si>
  <si>
    <t>August</t>
  </si>
  <si>
    <t>September</t>
  </si>
  <si>
    <t>October</t>
  </si>
  <si>
    <t>November</t>
  </si>
  <si>
    <t>December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</si>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</sst>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scheme val="minor"/>
    </font>
    <font>
      <b/>
      <sz val="11"/>
      <color theme="1"/>
      <name val="Calibri"/>
    </font>
    <font>
      <sz val="11"/>
      <color theme="1"/>
      <name val="Calibri"/>
    </font>
    <font>
      <sz val="11"/>
      <color theme="1"/>
      <name val="Calibri"/>
    </font>
    <font>
      <sz val="11"/>
      <color theme="1"/>
      <name val="Calibri"/>
      <scheme val="minor"/>
    </font>
  </fonts>
  <fills count="3">
    <fill>
      <patternFill patternType="none"/>
    </fill>
    <fill>
      <patternFill patternType="gray125"/>
    </fill>
    <fill>
      <patternFill patternType="solid">
        <fgColor rgb="FFFDE9D9"/>
        <bgColor rgb="FFFDE9D9"/>
      </patternFill>
    </fill>
  </fills>
  <borders count="2">
    <border>
      <left/>
      <right/>
      <top/>
      <bottom/>
      <diagonal/>
    </border>
    <border>
      <left style="thin">
        <color rgb="FF000000"/>
      </left>
      <right style="thin">
        <color rgb="FF000000"/>
      </right>
      <top/>
      <bottom style="thin">
        <color rgb="FF000000"/>
      </bottom>
      <diagonal/>
    </border>
  </borders>
  <cellStyleXfs count="2">
    <xf numFmtId="0" fontId="0" fillId="0" borderId="0"/>
    <xf numFmtId="9" fontId="4" fillId="0" borderId="0" applyFont="0" applyFill="0" applyBorder="0" applyAlignment="0" applyProtection="0"/>
  </cellStyleXfs>
  <cellXfs count="9">
    <xf numFmtId="0" fontId="0" fillId="0" borderId="0" xfId="0"/>
    <xf numFmtId="0" fontId="2" fillId="0" borderId="0" xfId="0" applyFont="1"/>
    <xf numFmtId="164" fontId="3" fillId="0" borderId="0" xfId="0" applyNumberFormat="1" applyFont="1"/>
    <xf numFmtId="0" fontId="1" fillId="2" borderId="1" xfId="0" applyFont="1" applyFill="1" applyBorder="1" applyAlignment="1">
      <alignment horizontal="center" vertical="top"/>
    </xf>
    <xf numFmtId="0" fontId="0" fillId="0" borderId="0" xfId="0" pivotButton="1"/>
    <xf numFmtId="0" fontId="0" fillId="0" borderId="0" xfId="0" applyAlignment="1">
      <alignment horizontal="left"/>
    </xf>
    <xf numFmtId="9" fontId="1" fillId="2" borderId="1" xfId="1" applyFont="1" applyFill="1" applyBorder="1" applyAlignment="1">
      <alignment horizontal="center" vertical="top"/>
    </xf>
    <xf numFmtId="9" fontId="2" fillId="0" borderId="0" xfId="1" applyFont="1"/>
    <xf numFmtId="9" fontId="0" fillId="0" borderId="0" xfId="1" applyFont="1"/>
  </cellXfs>
  <cellStyles count="2">
    <cellStyle name="Normal" xfId="0" builtinId="0"/>
    <cellStyle name="Percent" xfId="1" builtinId="5"/>
  </cellStyles>
  <dxfs count="36">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border outline="0">
        <top style="thin">
          <color rgb="FF000000"/>
        </top>
      </border>
    </dxf>
    <dxf>
      <font>
        <b val="0"/>
        <i val="0"/>
        <strike val="0"/>
        <condense val="0"/>
        <extend val="0"/>
        <outline val="0"/>
        <shadow val="0"/>
        <u val="none"/>
        <vertAlign val="baseline"/>
        <sz val="11"/>
        <color theme="1"/>
        <name val="Calibri"/>
        <scheme val="none"/>
      </font>
    </dxf>
    <dxf>
      <border outline="0">
        <bottom style="thin">
          <color rgb="FF000000"/>
        </bottom>
      </border>
    </dxf>
    <dxf>
      <font>
        <b/>
        <i val="0"/>
        <strike val="0"/>
        <condense val="0"/>
        <extend val="0"/>
        <outline val="0"/>
        <shadow val="0"/>
        <u val="none"/>
        <vertAlign val="baseline"/>
        <sz val="11"/>
        <color theme="1"/>
        <name val="Calibri"/>
        <scheme val="none"/>
      </font>
      <fill>
        <patternFill patternType="solid">
          <fgColor rgb="FFFDE9D9"/>
          <bgColor rgb="FFFDE9D9"/>
        </patternFill>
      </fill>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BE0C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4.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3.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2.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onnections" Target="connections.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[AMULYA EXCEL PROJECT.xlsx]Top 10 Customers by Total Sales!PivotTable26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 by Total Sales After Discount &amp; Delivery Charge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 by Total Sales'!$B$3</c:f>
              <c:strCache>
                <c:ptCount val="1"/>
                <c:pt idx="0">
                  <c:v>Total</c:v>
                </c:pt>
              </c:strCache>
            </c:strRef>
          </c:tx>
          <c:spPr>
            <a:solidFill>
              <a:schemeClr val="accent1"/>
            </a:solidFill>
            <a:ln>
              <a:noFill/>
            </a:ln>
            <a:effectLst/>
          </c:spPr>
          <c:invertIfNegative val="0"/>
          <c:cat>
            <c:strRef>
              <c:f>'Top 10 Customers by Total Sales'!$A$4:$A$14</c:f>
              <c:strCache>
                <c:ptCount val="10"/>
                <c:pt idx="0">
                  <c:v>Jodi Whitney</c:v>
                </c:pt>
                <c:pt idx="1">
                  <c:v>Amy Ellis</c:v>
                </c:pt>
                <c:pt idx="2">
                  <c:v>Brendan Kelly</c:v>
                </c:pt>
                <c:pt idx="3">
                  <c:v>Lauren Crane</c:v>
                </c:pt>
                <c:pt idx="4">
                  <c:v>Mark Summers</c:v>
                </c:pt>
                <c:pt idx="5">
                  <c:v>John Ramirez</c:v>
                </c:pt>
                <c:pt idx="6">
                  <c:v>Lauren Long</c:v>
                </c:pt>
                <c:pt idx="7">
                  <c:v>Erin Miller</c:v>
                </c:pt>
                <c:pt idx="8">
                  <c:v>Mary Knight</c:v>
                </c:pt>
                <c:pt idx="9">
                  <c:v>Sarah Butler</c:v>
                </c:pt>
              </c:strCache>
            </c:strRef>
          </c:cat>
          <c:val>
            <c:numRef>
              <c:f>'Top 10 Customers by Total Sales'!$B$4:$B$14</c:f>
              <c:numCache>
                <c:formatCode>General</c:formatCode>
                <c:ptCount val="10"/>
                <c:pt idx="0">
                  <c:v>1879.8210999999999</c:v>
                </c:pt>
                <c:pt idx="1">
                  <c:v>1488.0636999999997</c:v>
                </c:pt>
                <c:pt idx="2">
                  <c:v>1383.0027999999998</c:v>
                </c:pt>
                <c:pt idx="3">
                  <c:v>1285.6717000000001</c:v>
                </c:pt>
                <c:pt idx="4">
                  <c:v>1280.5413000000001</c:v>
                </c:pt>
                <c:pt idx="5">
                  <c:v>1245.6702</c:v>
                </c:pt>
                <c:pt idx="6">
                  <c:v>1238.6359000000002</c:v>
                </c:pt>
                <c:pt idx="7">
                  <c:v>1196.0308</c:v>
                </c:pt>
                <c:pt idx="8">
                  <c:v>1101.6562000000001</c:v>
                </c:pt>
                <c:pt idx="9">
                  <c:v>1078.0415</c:v>
                </c:pt>
              </c:numCache>
            </c:numRef>
          </c:val>
          <c:extLst>
            <c:ext xmlns:c16="http://schemas.microsoft.com/office/drawing/2014/chart" uri="{C3380CC4-5D6E-409C-BE32-E72D297353CC}">
              <c16:uniqueId val="{00000000-C8E9-4D20-8688-A51A236E185C}"/>
            </c:ext>
          </c:extLst>
        </c:ser>
        <c:dLbls>
          <c:showLegendKey val="0"/>
          <c:showVal val="0"/>
          <c:showCatName val="0"/>
          <c:showSerName val="0"/>
          <c:showPercent val="0"/>
          <c:showBubbleSize val="0"/>
        </c:dLbls>
        <c:gapWidth val="182"/>
        <c:axId val="965942832"/>
        <c:axId val="887821552"/>
      </c:barChart>
      <c:catAx>
        <c:axId val="96594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821552"/>
        <c:crosses val="autoZero"/>
        <c:auto val="1"/>
        <c:lblAlgn val="ctr"/>
        <c:lblOffset val="100"/>
        <c:noMultiLvlLbl val="0"/>
      </c:catAx>
      <c:valAx>
        <c:axId val="887821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4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[AMULYA EXCEL PROJECT.xlsx]13!PivotTable28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7 Most Ordered Products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'13'!$B$3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1D-46CB-A3C7-1F6E5345D5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1D-46CB-A3C7-1F6E5345D5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1D-46CB-A3C7-1F6E5345D5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1D-46CB-A3C7-1F6E5345D5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21D-46CB-A3C7-1F6E5345D5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21D-46CB-A3C7-1F6E5345D50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21D-46CB-A3C7-1F6E5345D5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'13'!$A$4:$A$11</c:f>
              <c:strCache>
                <c:ptCount val="7"/>
                <c:pt idx="0">
                  <c:v>PID036</c:v>
                </c:pt>
                <c:pt idx="1">
                  <c:v>PID046</c:v>
                </c:pt>
                <c:pt idx="2">
                  <c:v>PID048</c:v>
                </c:pt>
                <c:pt idx="3">
                  <c:v>PID027</c:v>
                </c:pt>
                <c:pt idx="4">
                  <c:v>PID018</c:v>
                </c:pt>
                <c:pt idx="5">
                  <c:v>PID041</c:v>
                </c:pt>
                <c:pt idx="6">
                  <c:v>PID002</c:v>
                </c:pt>
              </c:strCache>
            </c:strRef>
          </c:cat>
          <c:val>
            <c:numRef>
              <c:f>'13'!$B$4:$B$11</c:f>
              <c:numCache>
                <c:formatCode>General</c:formatCode>
                <c:ptCount val="7"/>
                <c:pt idx="0">
                  <c:v>17</c:v>
                </c:pt>
                <c:pt idx="1">
                  <c:v>16</c:v>
                </c:pt>
                <c:pt idx="2">
                  <c:v>15</c:v>
                </c:pt>
                <c:pt idx="3">
                  <c:v>15</c:v>
                </c:pt>
                <c:pt idx="4">
                  <c:v>15</c:v>
                </c:pt>
                <c:pt idx="5">
                  <c:v>14</c:v>
                </c:pt>
                <c:pt idx="6">
                  <c:v>14</c:v>
                </c:pt>
              </c:numCache>
            </c:numRef>
          </c:val>
          <c:extLst>
            <c:ext xmlns:c16="http://schemas.microsoft.com/office/drawing/2014/chart" uri="{C3380CC4-5D6E-409C-BE32-E72D297353CC}">
              <c16:uniqueId val="{00000000-7518-4D97-9C00-75E8B19A8A4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[AMULYA EXCEL PROJECT.xlsx]14!PivotTable29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City-wise Total Orders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'14'!$B$3</c:f>
              <c:strCache>
                <c:ptCount val="1"/>
                <c:pt idx="0">
                  <c:v>Total</c:v>
                </c:pt>
              </c:strCache>
            </c:strRef>
          </c:tx>
          <c:spPr>
            <a:solidFill>
              <a:schemeClr val="accent1"/>
            </a:solidFill>
            <a:ln>
              <a:noFill/>
            </a:ln>
            <a:effectLst/>
          </c:spPr>
          <c:invertIfNegative val="0"/>
          <c:cat>
            <c:strRef>
              <c:f>'14'!$A$4:$A$12</c:f>
              <c:strCache>
                <c:ptCount val="8"/>
                <c:pt idx="0">
                  <c:v>Houston</c:v>
                </c:pt>
                <c:pt idx="1">
                  <c:v>San Francisco</c:v>
                </c:pt>
                <c:pt idx="2">
                  <c:v>Los Angeles</c:v>
                </c:pt>
                <c:pt idx="3">
                  <c:v>Phoenix</c:v>
                </c:pt>
                <c:pt idx="4">
                  <c:v>Dallas</c:v>
                </c:pt>
                <c:pt idx="5">
                  <c:v>Chicago</c:v>
                </c:pt>
                <c:pt idx="6">
                  <c:v>New York</c:v>
                </c:pt>
                <c:pt idx="7">
                  <c:v>Miami</c:v>
                </c:pt>
              </c:strCache>
            </c:strRef>
          </c:cat>
          <c:val>
            <c:numRef>
              <c:f>'14'!$B$4:$B$12</c:f>
              <c:numCache>
                <c:formatCode>General</c:formatCode>
                <c:ptCount val="8"/>
                <c:pt idx="0">
                  <c:v>80</c:v>
                </c:pt>
                <c:pt idx="1">
                  <c:v>72</c:v>
                </c:pt>
                <c:pt idx="2">
                  <c:v>72</c:v>
                </c:pt>
                <c:pt idx="3">
                  <c:v>66</c:v>
                </c:pt>
                <c:pt idx="4">
                  <c:v>64</c:v>
                </c:pt>
                <c:pt idx="5">
                  <c:v>51</c:v>
                </c:pt>
                <c:pt idx="6">
                  <c:v>51</c:v>
                </c:pt>
                <c:pt idx="7">
                  <c:v>44</c:v>
                </c:pt>
              </c:numCache>
            </c:numRef>
          </c:val>
          <c:extLst>
            <c:ext xmlns:c16="http://schemas.microsoft.com/office/drawing/2014/chart" uri="{C3380CC4-5D6E-409C-BE32-E72D297353CC}">
              <c16:uniqueId val="{00000000-276F-488C-8D09-F84D47108718}"/>
            </c:ext>
          </c:extLst>
        </c:ser>
        <c:dLbls>
          <c:showLegendKey val="0"/>
          <c:showVal val="0"/>
          <c:showCatName val="0"/>
          <c:showSerName val="0"/>
          <c:showPercent val="0"/>
          <c:showBubbleSize val="0"/>
        </c:dLbls>
        <c:gapWidth val="182"/>
        <c:axId val="965913136"/>
        <c:axId val="904485872"/>
      </c:barChart>
      <c:catAx>
        <c:axId val="965913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485872"/>
        <c:crosses val="autoZero"/>
        <c:auto val="1"/>
        <c:lblAlgn val="ctr"/>
        <c:lblOffset val="100"/>
        <c:noMultiLvlLbl val="0"/>
      </c:catAx>
      <c:valAx>
        <c:axId val="904485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1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[AMULYA EXCEL PROJECT.xlsx]15!PivotTable30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City-wise Total Amount after Discount and Delivery Charge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'15'!$B$3</c:f>
              <c:strCache>
                <c:ptCount val="1"/>
                <c:pt idx="0">
                  <c:v>Total</c:v>
                </c:pt>
              </c:strCache>
            </c:strRef>
          </c:tx>
          <c:spPr>
            <a:solidFill>
              <a:schemeClr val="accent1"/>
            </a:solidFill>
            <a:ln>
              <a:noFill/>
            </a:ln>
            <a:effectLst/>
          </c:spPr>
          <c:invertIfNegative val="0"/>
          <c:cat>
            <c:strRef>
              <c:f>'15'!$A$4:$A$12</c:f>
              <c:strCache>
                <c:ptCount val="8"/>
                <c:pt idx="0">
                  <c:v>Houston</c:v>
                </c:pt>
                <c:pt idx="1">
                  <c:v>San Francisco</c:v>
                </c:pt>
                <c:pt idx="2">
                  <c:v>Phoenix</c:v>
                </c:pt>
                <c:pt idx="3">
                  <c:v>Los Angeles</c:v>
                </c:pt>
                <c:pt idx="4">
                  <c:v>Dallas</c:v>
                </c:pt>
                <c:pt idx="5">
                  <c:v>New York</c:v>
                </c:pt>
                <c:pt idx="6">
                  <c:v>Chicago</c:v>
                </c:pt>
                <c:pt idx="7">
                  <c:v>Miami</c:v>
                </c:pt>
              </c:strCache>
            </c:strRef>
          </c:cat>
          <c:val>
            <c:numRef>
              <c:f>'15'!$B$4:$B$12</c:f>
              <c:numCache>
                <c:formatCode>General</c:formatCode>
                <c:ptCount val="8"/>
                <c:pt idx="0">
                  <c:v>10052.2196</c:v>
                </c:pt>
                <c:pt idx="1">
                  <c:v>9022.9591999999975</c:v>
                </c:pt>
                <c:pt idx="2">
                  <c:v>7817.0542000000041</c:v>
                </c:pt>
                <c:pt idx="3">
                  <c:v>7778.0241000000015</c:v>
                </c:pt>
                <c:pt idx="4">
                  <c:v>7729.502999999997</c:v>
                </c:pt>
                <c:pt idx="5">
                  <c:v>6285.9825000000001</c:v>
                </c:pt>
                <c:pt idx="6">
                  <c:v>5441.7730000000029</c:v>
                </c:pt>
                <c:pt idx="7">
                  <c:v>4700.2147000000014</c:v>
                </c:pt>
              </c:numCache>
            </c:numRef>
          </c:val>
          <c:extLst>
            <c:ext xmlns:c16="http://schemas.microsoft.com/office/drawing/2014/chart" uri="{C3380CC4-5D6E-409C-BE32-E72D297353CC}">
              <c16:uniqueId val="{00000000-8C98-491F-8E7F-C05DBC1BA719}"/>
            </c:ext>
          </c:extLst>
        </c:ser>
        <c:dLbls>
          <c:showLegendKey val="0"/>
          <c:showVal val="0"/>
          <c:showCatName val="0"/>
          <c:showSerName val="0"/>
          <c:showPercent val="0"/>
          <c:showBubbleSize val="0"/>
        </c:dLbls>
        <c:gapWidth val="219"/>
        <c:overlap val="-27"/>
        <c:axId val="919586592"/>
        <c:axId val="904514672"/>
      </c:barChart>
      <c:catAx>
        <c:axId val="91958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14672"/>
        <c:crosses val="autoZero"/>
        <c:auto val="1"/>
        <c:lblAlgn val="ctr"/>
        <c:lblOffset val="100"/>
        <c:noMultiLvlLbl val="0"/>
      </c:catAx>
      <c:valAx>
        <c:axId val="904514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58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[AMULYA EXCEL PROJECT.xlsx]16!PivotTable31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Count of Discount Coupons Used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'16'!$B$3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E0-434B-AD05-C91717580D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E0-434B-AD05-C91717580D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E0-434B-AD05-C91717580D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E0-434B-AD05-C91717580D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E0-434B-AD05-C91717580D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0"/>
            <c:extLst>
              <c:ext xmlns:c15="http://schemas.microsoft.com/office/drawing/2012/chart" uri="{CE6537A1-D6FC-4f65-9D91-7224C49458BB}"/>
            </c:extLst>
          </c:dLbls>
          <c:cat>
            <c:strRef>
              <c:f>'16'!$A$4:$A$9</c:f>
              <c:strCache>
                <c:ptCount val="5"/>
                <c:pt idx="0">
                  <c:v>FLAT8</c:v>
                </c:pt>
                <c:pt idx="1">
                  <c:v>FLAT20</c:v>
                </c:pt>
                <c:pt idx="2">
                  <c:v>DEL0</c:v>
                </c:pt>
                <c:pt idx="3">
                  <c:v>FLAT10</c:v>
                </c:pt>
                <c:pt idx="4">
                  <c:v>FLAT15</c:v>
                </c:pt>
              </c:strCache>
            </c:strRef>
          </c:cat>
          <c:val>
            <c:numRef>
              <c:f>'16'!$B$4:$B$9</c:f>
              <c:numCache>
                <c:formatCode>General</c:formatCode>
                <c:ptCount val="5"/>
                <c:pt idx="0">
                  <c:v>111</c:v>
                </c:pt>
                <c:pt idx="1">
                  <c:v>104</c:v>
                </c:pt>
                <c:pt idx="2">
                  <c:v>102</c:v>
                </c:pt>
                <c:pt idx="3">
                  <c:v>100</c:v>
                </c:pt>
                <c:pt idx="4">
                  <c:v>83</c:v>
                </c:pt>
              </c:numCache>
            </c:numRef>
          </c:val>
          <c:extLst>
            <c:ext xmlns:c16="http://schemas.microsoft.com/office/drawing/2014/chart" uri="{C3380CC4-5D6E-409C-BE32-E72D297353CC}">
              <c16:uniqueId val="{00000000-AD97-4A18-8B92-B43BD023DC59}"/>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[AMULYA EXCEL PROJECT.xlsx]17!PivotTable32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Month &amp; Gender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'17'!$B$3:$B$4</c:f>
              <c:strCache>
                <c:ptCount val="1"/>
                <c:pt idx="0">
                  <c:v>Female</c:v>
                </c:pt>
              </c:strCache>
            </c:strRef>
          </c:tx>
          <c:spPr>
            <a:solidFill>
              <a:schemeClr val="accent1"/>
            </a:solidFill>
            <a:ln>
              <a:noFill/>
            </a:ln>
            <a:effectLst/>
          </c:spPr>
          <c:invertIfNegative val="0"/>
          <c:cat>
            <c:strRef>
              <c:f>'17'!$A$5:$A$17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'17'!$B$5:$B$17</c:f>
              <c:numCache>
                <c:formatCode>General</c:formatCode>
                <c:ptCount val="12"/>
                <c:pt idx="0">
                  <c:v>1818.8011999999994</c:v>
                </c:pt>
                <c:pt idx="1">
                  <c:v>1368.2617</c:v>
                </c:pt>
                <c:pt idx="2">
                  <c:v>1518.3653999999999</c:v>
                </c:pt>
                <c:pt idx="3">
                  <c:v>2281.5382999999997</c:v>
                </c:pt>
                <c:pt idx="4">
                  <c:v>782.755</c:v>
                </c:pt>
                <c:pt idx="5">
                  <c:v>1233.9175</c:v>
                </c:pt>
                <c:pt idx="6">
                  <c:v>1070.1256000000001</c:v>
                </c:pt>
                <c:pt idx="7">
                  <c:v>2125.9032999999999</c:v>
                </c:pt>
                <c:pt idx="8">
                  <c:v>1516.1833000000001</c:v>
                </c:pt>
                <c:pt idx="9">
                  <c:v>1416.9901</c:v>
                </c:pt>
                <c:pt idx="10">
                  <c:v>553.79240000000004</c:v>
                </c:pt>
                <c:pt idx="11">
                  <c:v>1196.1784</c:v>
                </c:pt>
              </c:numCache>
            </c:numRef>
          </c:val>
          <c:extLst>
            <c:ext xmlns:c16="http://schemas.microsoft.com/office/drawing/2014/chart" uri="{C3380CC4-5D6E-409C-BE32-E72D297353CC}">
              <c16:uniqueId val="{00000000-2D32-44E4-A3F9-56F9CDF320DB}"/>
            </c:ext>
          </c:extLst>
        </c:ser>
        <c:ser>
          <c:idx val="1"/>
          <c:order val="1"/>
          <c:tx>
            <c:strRef>
              <c:f>'17'!$C$3:$C$4</c:f>
              <c:strCache>
                <c:ptCount val="1"/>
                <c:pt idx="0">
                  <c:v>Male</c:v>
                </c:pt>
              </c:strCache>
            </c:strRef>
          </c:tx>
          <c:spPr>
            <a:solidFill>
              <a:schemeClr val="accent2"/>
            </a:solidFill>
            <a:ln>
              <a:noFill/>
            </a:ln>
            <a:effectLst/>
          </c:spPr>
          <c:invertIfNegative val="0"/>
          <c:cat>
            <c:strRef>
              <c:f>'17'!$A$5:$A$17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'17'!$C$5:$C$17</c:f>
              <c:numCache>
                <c:formatCode>General</c:formatCode>
                <c:ptCount val="12"/>
                <c:pt idx="0">
                  <c:v>1390.0519000000002</c:v>
                </c:pt>
                <c:pt idx="1">
                  <c:v>1408.6180000000002</c:v>
                </c:pt>
                <c:pt idx="2">
                  <c:v>1301.0920000000001</c:v>
                </c:pt>
                <c:pt idx="3">
                  <c:v>1745.7826</c:v>
                </c:pt>
                <c:pt idx="4">
                  <c:v>1295.6402000000003</c:v>
                </c:pt>
                <c:pt idx="5">
                  <c:v>1901.0074000000002</c:v>
                </c:pt>
                <c:pt idx="6">
                  <c:v>1945.4829</c:v>
                </c:pt>
                <c:pt idx="7">
                  <c:v>1453.9329000000002</c:v>
                </c:pt>
                <c:pt idx="8">
                  <c:v>2105.0663</c:v>
                </c:pt>
                <c:pt idx="9">
                  <c:v>2120.8355000000001</c:v>
                </c:pt>
                <c:pt idx="10">
                  <c:v>536.65</c:v>
                </c:pt>
                <c:pt idx="11">
                  <c:v>1118.7489</c:v>
                </c:pt>
              </c:numCache>
            </c:numRef>
          </c:val>
          <c:extLst>
            <c:ext xmlns:c16="http://schemas.microsoft.com/office/drawing/2014/chart" uri="{C3380CC4-5D6E-409C-BE32-E72D297353CC}">
              <c16:uniqueId val="{00000001-2D32-44E4-A3F9-56F9CDF320DB}"/>
            </c:ext>
          </c:extLst>
        </c:ser>
        <c:ser>
          <c:idx val="2"/>
          <c:order val="2"/>
          <c:tx>
            <c:strRef>
              <c:f>'17'!$D$3:$D$4</c:f>
              <c:strCache>
                <c:ptCount val="1"/>
                <c:pt idx="0">
                  <c:v>Other</c:v>
                </c:pt>
              </c:strCache>
            </c:strRef>
          </c:tx>
          <c:spPr>
            <a:solidFill>
              <a:schemeClr val="accent3"/>
            </a:solidFill>
            <a:ln>
              <a:noFill/>
            </a:ln>
            <a:effectLst/>
          </c:spPr>
          <c:invertIfNegative val="0"/>
          <c:cat>
            <c:strRef>
              <c:f>'17'!$A$5:$A$17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'17'!$D$5:$D$17</c:f>
              <c:numCache>
                <c:formatCode>General</c:formatCode>
                <c:ptCount val="12"/>
                <c:pt idx="0">
                  <c:v>3014.5928000000004</c:v>
                </c:pt>
                <c:pt idx="1">
                  <c:v>1389.2859000000003</c:v>
                </c:pt>
                <c:pt idx="2">
                  <c:v>1639.6911</c:v>
                </c:pt>
                <c:pt idx="3">
                  <c:v>2383.6727000000001</c:v>
                </c:pt>
                <c:pt idx="4">
                  <c:v>1385.14</c:v>
                </c:pt>
                <c:pt idx="5">
                  <c:v>1555.2862</c:v>
                </c:pt>
                <c:pt idx="6">
                  <c:v>2405.3753000000002</c:v>
                </c:pt>
                <c:pt idx="7">
                  <c:v>1525.4977999999999</c:v>
                </c:pt>
                <c:pt idx="8">
                  <c:v>2403.0837999999999</c:v>
                </c:pt>
                <c:pt idx="9">
                  <c:v>1119.7098000000001</c:v>
                </c:pt>
                <c:pt idx="10">
                  <c:v>2383.5383999999999</c:v>
                </c:pt>
                <c:pt idx="11">
                  <c:v>2417.1356999999998</c:v>
                </c:pt>
              </c:numCache>
            </c:numRef>
          </c:val>
          <c:extLst>
            <c:ext xmlns:c16="http://schemas.microsoft.com/office/drawing/2014/chart" uri="{C3380CC4-5D6E-409C-BE32-E72D297353CC}">
              <c16:uniqueId val="{00000002-2D32-44E4-A3F9-56F9CDF320DB}"/>
            </c:ext>
          </c:extLst>
        </c:ser>
        <c:dLbls>
          <c:showLegendKey val="0"/>
          <c:showVal val="0"/>
          <c:showCatName val="0"/>
          <c:showSerName val="0"/>
          <c:showPercent val="0"/>
          <c:showBubbleSize val="0"/>
        </c:dLbls>
        <c:gapWidth val="182"/>
        <c:axId val="1086164016"/>
        <c:axId val="904531952"/>
      </c:barChart>
      <c:catAx>
        <c:axId val="108616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31952"/>
        <c:crosses val="autoZero"/>
        <c:auto val="1"/>
        <c:lblAlgn val="ctr"/>
        <c:lblOffset val="100"/>
        <c:noMultiLvlLbl val="0"/>
      </c:catAx>
      <c:valAx>
        <c:axId val="904531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16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[AMULYA EXCEL PROJECT.xlsx]Top 10 Customers by Total Sales!PivotTable26</c:name>
    <c:fmtId val="8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Top 10 Customers </a:t>
            </a:r>
            <a:endParaRPr lang="en-US" b="1" i="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18015923264233"/>
          <c:y val="0.22784313725490196"/>
          <c:w val="0.65770432819383717"/>
          <c:h val="0.68118326385672379"/>
        </c:manualLayout>
      </c:layout>
      <c:barChart>
        <c:barDir val="bar"/>
        <c:grouping val="clustered"/>
        <c:varyColors val="0"/>
        <c:ser>
          <c:idx val="0"/>
          <c:order val="0"/>
          <c:tx>
            <c:strRef>
              <c:f>'Top 10 Customers by Total Sales'!$B$3</c:f>
              <c:strCache>
                <c:ptCount val="1"/>
                <c:pt idx="0">
                  <c:v>Total</c:v>
                </c:pt>
              </c:strCache>
            </c:strRef>
          </c:tx>
          <c:spPr>
            <a:solidFill>
              <a:schemeClr val="accent1"/>
            </a:solidFill>
            <a:ln>
              <a:noFill/>
            </a:ln>
            <a:effectLst/>
          </c:spPr>
          <c:invertIfNegative val="0"/>
          <c:cat>
            <c:strRef>
              <c:f>'Top 10 Customers by Total Sales'!$A$4:$A$14</c:f>
              <c:strCache>
                <c:ptCount val="10"/>
                <c:pt idx="0">
                  <c:v>Jodi Whitney</c:v>
                </c:pt>
                <c:pt idx="1">
                  <c:v>Amy Ellis</c:v>
                </c:pt>
                <c:pt idx="2">
                  <c:v>Brendan Kelly</c:v>
                </c:pt>
                <c:pt idx="3">
                  <c:v>Lauren Crane</c:v>
                </c:pt>
                <c:pt idx="4">
                  <c:v>Mark Summers</c:v>
                </c:pt>
                <c:pt idx="5">
                  <c:v>John Ramirez</c:v>
                </c:pt>
                <c:pt idx="6">
                  <c:v>Lauren Long</c:v>
                </c:pt>
                <c:pt idx="7">
                  <c:v>Erin Miller</c:v>
                </c:pt>
                <c:pt idx="8">
                  <c:v>Mary Knight</c:v>
                </c:pt>
                <c:pt idx="9">
                  <c:v>Sarah Butler</c:v>
                </c:pt>
              </c:strCache>
            </c:strRef>
          </c:cat>
          <c:val>
            <c:numRef>
              <c:f>'Top 10 Customers by Total Sales'!$B$4:$B$14</c:f>
              <c:numCache>
                <c:formatCode>General</c:formatCode>
                <c:ptCount val="10"/>
                <c:pt idx="0">
                  <c:v>1879.8210999999999</c:v>
                </c:pt>
                <c:pt idx="1">
                  <c:v>1488.0636999999997</c:v>
                </c:pt>
                <c:pt idx="2">
                  <c:v>1383.0027999999998</c:v>
                </c:pt>
                <c:pt idx="3">
                  <c:v>1285.6717000000001</c:v>
                </c:pt>
                <c:pt idx="4">
                  <c:v>1280.5413000000001</c:v>
                </c:pt>
                <c:pt idx="5">
                  <c:v>1245.6702</c:v>
                </c:pt>
                <c:pt idx="6">
                  <c:v>1238.6359000000002</c:v>
                </c:pt>
                <c:pt idx="7">
                  <c:v>1196.0308</c:v>
                </c:pt>
                <c:pt idx="8">
                  <c:v>1101.6562000000001</c:v>
                </c:pt>
                <c:pt idx="9">
                  <c:v>1078.0415</c:v>
                </c:pt>
              </c:numCache>
            </c:numRef>
          </c:val>
          <c:extLst>
            <c:ext xmlns:c16="http://schemas.microsoft.com/office/drawing/2014/chart" uri="{C3380CC4-5D6E-409C-BE32-E72D297353CC}">
              <c16:uniqueId val="{00000000-256B-4BA9-8EA6-C054C438DAE7}"/>
            </c:ext>
          </c:extLst>
        </c:ser>
        <c:dLbls>
          <c:showLegendKey val="0"/>
          <c:showVal val="0"/>
          <c:showCatName val="0"/>
          <c:showSerName val="0"/>
          <c:showPercent val="0"/>
          <c:showBubbleSize val="0"/>
        </c:dLbls>
        <c:gapWidth val="182"/>
        <c:axId val="965942832"/>
        <c:axId val="887821552"/>
      </c:barChart>
      <c:catAx>
        <c:axId val="96594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821552"/>
        <c:crosses val="autoZero"/>
        <c:auto val="1"/>
        <c:lblAlgn val="ctr"/>
        <c:lblOffset val="100"/>
        <c:noMultiLvlLbl val="0"/>
      </c:catAx>
      <c:valAx>
        <c:axId val="887821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4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[AMULYA EXCEL PROJECT.xlsx]13!PivotTable28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Top 7 Most Ordered Products </a:t>
            </a:r>
            <a:endParaRPr lang="en-US" b="1" i="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manualLayout>
          <c:layoutTarget val="inner"/>
          <c:xMode val="edge"/>
          <c:yMode val="edge"/>
          <c:x val="0.2263047479953342"/>
          <c:y val="0.26127850720292617"/>
          <c:w val="0.42154777677655969"/>
          <c:h val="0.68719518286757431"/>
        </c:manualLayout>
      </c:layout>
      <c:doughnutChart>
        <c:varyColors val="1"/>
        <c:ser>
          <c:idx val="0"/>
          <c:order val="0"/>
          <c:tx>
            <c:strRef>
              <c:f>'13'!$B$3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AD-4513-9C6F-8584B855C1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AD-4513-9C6F-8584B855C1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AD-4513-9C6F-8584B855C1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AD-4513-9C6F-8584B855C1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AD-4513-9C6F-8584B855C14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5AD-4513-9C6F-8584B855C14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5AD-4513-9C6F-8584B855C1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'13'!$A$4:$A$11</c:f>
              <c:strCache>
                <c:ptCount val="7"/>
                <c:pt idx="0">
                  <c:v>PID036</c:v>
                </c:pt>
                <c:pt idx="1">
                  <c:v>PID046</c:v>
                </c:pt>
                <c:pt idx="2">
                  <c:v>PID048</c:v>
                </c:pt>
                <c:pt idx="3">
                  <c:v>PID027</c:v>
                </c:pt>
                <c:pt idx="4">
                  <c:v>PID018</c:v>
                </c:pt>
                <c:pt idx="5">
                  <c:v>PID041</c:v>
                </c:pt>
                <c:pt idx="6">
                  <c:v>PID002</c:v>
                </c:pt>
              </c:strCache>
            </c:strRef>
          </c:cat>
          <c:val>
            <c:numRef>
              <c:f>'13'!$B$4:$B$11</c:f>
              <c:numCache>
                <c:formatCode>General</c:formatCode>
                <c:ptCount val="7"/>
                <c:pt idx="0">
                  <c:v>17</c:v>
                </c:pt>
                <c:pt idx="1">
                  <c:v>16</c:v>
                </c:pt>
                <c:pt idx="2">
                  <c:v>15</c:v>
                </c:pt>
                <c:pt idx="3">
                  <c:v>15</c:v>
                </c:pt>
                <c:pt idx="4">
                  <c:v>15</c:v>
                </c:pt>
                <c:pt idx="5">
                  <c:v>14</c:v>
                </c:pt>
                <c:pt idx="6">
                  <c:v>14</c:v>
                </c:pt>
              </c:numCache>
            </c:numRef>
          </c:val>
          <c:extLst>
            <c:ext xmlns:c16="http://schemas.microsoft.com/office/drawing/2014/chart" uri="{C3380CC4-5D6E-409C-BE32-E72D297353CC}">
              <c16:uniqueId val="{0000000E-85AD-4513-9C6F-8584B855C14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[AMULYA EXCEL PROJECT.xlsx]16!PivotTable31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Count of Discount Coupons Used</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2550164967623561"/>
          <c:y val="0.2732925051035287"/>
          <c:w val="0.37888620113708354"/>
          <c:h val="0.67147054534849815"/>
        </c:manualLayout>
      </c:layout>
      <c:pieChart>
        <c:varyColors val="1"/>
        <c:ser>
          <c:idx val="0"/>
          <c:order val="0"/>
          <c:tx>
            <c:strRef>
              <c:f>'16'!$B$3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B0-4BFC-8303-58EE669DF4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B0-4BFC-8303-58EE669DF4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B0-4BFC-8303-58EE669DF4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B0-4BFC-8303-58EE669DF47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0B0-4BFC-8303-58EE669DF4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0"/>
            <c:extLst>
              <c:ext xmlns:c15="http://schemas.microsoft.com/office/drawing/2012/chart" uri="{CE6537A1-D6FC-4f65-9D91-7224C49458BB}"/>
            </c:extLst>
          </c:dLbls>
          <c:cat>
            <c:strRef>
              <c:f>'16'!$A$4:$A$9</c:f>
              <c:strCache>
                <c:ptCount val="5"/>
                <c:pt idx="0">
                  <c:v>FLAT8</c:v>
                </c:pt>
                <c:pt idx="1">
                  <c:v>FLAT20</c:v>
                </c:pt>
                <c:pt idx="2">
                  <c:v>DEL0</c:v>
                </c:pt>
                <c:pt idx="3">
                  <c:v>FLAT10</c:v>
                </c:pt>
                <c:pt idx="4">
                  <c:v>FLAT15</c:v>
                </c:pt>
              </c:strCache>
            </c:strRef>
          </c:cat>
          <c:val>
            <c:numRef>
              <c:f>'16'!$B$4:$B$9</c:f>
              <c:numCache>
                <c:formatCode>General</c:formatCode>
                <c:ptCount val="5"/>
                <c:pt idx="0">
                  <c:v>111</c:v>
                </c:pt>
                <c:pt idx="1">
                  <c:v>104</c:v>
                </c:pt>
                <c:pt idx="2">
                  <c:v>102</c:v>
                </c:pt>
                <c:pt idx="3">
                  <c:v>100</c:v>
                </c:pt>
                <c:pt idx="4">
                  <c:v>83</c:v>
                </c:pt>
              </c:numCache>
            </c:numRef>
          </c:val>
          <c:extLst>
            <c:ext xmlns:c16="http://schemas.microsoft.com/office/drawing/2014/chart" uri="{C3380CC4-5D6E-409C-BE32-E72D297353CC}">
              <c16:uniqueId val="{0000000A-F0B0-4BFC-8303-58EE669DF476}"/>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[AMULYA EXCEL PROJECT.xlsx]17!PivotTable32</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
            </a:r>
            <a:endParaRPr lang="en-US"/>
          </a:p>
        </c:rich>
      </c:tx>
      <c:layout>
        <c:manualLayout>
          <c:xMode val="edge"/>
          <c:yMode val="edge"/>
          <c:x val="0.22477439765856019"/>
          <c:y val="4.5427811425537777E-2"/>
        </c:manualLayout>
      </c:layout>
      <c:overlay val="0"/>
      <c:spPr>
        <a:solidFill>
          <a:srgbClr val="00B0F0"/>
        </a:solid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91509977380641"/>
          <c:y val="0.19446790059287383"/>
          <c:w val="0.676415673843619"/>
          <c:h val="0.74129214810449906"/>
        </c:manualLayout>
      </c:layout>
      <c:barChart>
        <c:barDir val="bar"/>
        <c:grouping val="clustered"/>
        <c:varyColors val="0"/>
        <c:ser>
          <c:idx val="0"/>
          <c:order val="0"/>
          <c:tx>
            <c:strRef>
              <c:f>'17'!$B$3:$B$4</c:f>
              <c:strCache>
                <c:ptCount val="1"/>
                <c:pt idx="0">
                  <c:v>Female</c:v>
                </c:pt>
              </c:strCache>
            </c:strRef>
          </c:tx>
          <c:spPr>
            <a:solidFill>
              <a:schemeClr val="accent1"/>
            </a:solidFill>
            <a:ln>
              <a:noFill/>
            </a:ln>
            <a:effectLst/>
          </c:spPr>
          <c:invertIfNegative val="0"/>
          <c:cat>
            <c:strRef>
              <c:f>'17'!$A$5:$A$17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'17'!$B$5:$B$17</c:f>
              <c:numCache>
                <c:formatCode>General</c:formatCode>
                <c:ptCount val="12"/>
                <c:pt idx="0">
                  <c:v>1818.8011999999994</c:v>
                </c:pt>
                <c:pt idx="1">
                  <c:v>1368.2617</c:v>
                </c:pt>
                <c:pt idx="2">
                  <c:v>1518.3653999999999</c:v>
                </c:pt>
                <c:pt idx="3">
                  <c:v>2281.5382999999997</c:v>
                </c:pt>
                <c:pt idx="4">
                  <c:v>782.755</c:v>
                </c:pt>
                <c:pt idx="5">
                  <c:v>1233.9175</c:v>
                </c:pt>
                <c:pt idx="6">
                  <c:v>1070.1256000000001</c:v>
                </c:pt>
                <c:pt idx="7">
                  <c:v>2125.9032999999999</c:v>
                </c:pt>
                <c:pt idx="8">
                  <c:v>1516.1833000000001</c:v>
                </c:pt>
                <c:pt idx="9">
                  <c:v>1416.9901</c:v>
                </c:pt>
                <c:pt idx="10">
                  <c:v>553.79240000000004</c:v>
                </c:pt>
                <c:pt idx="11">
                  <c:v>1196.1784</c:v>
                </c:pt>
              </c:numCache>
            </c:numRef>
          </c:val>
          <c:extLst>
            <c:ext xmlns:c16="http://schemas.microsoft.com/office/drawing/2014/chart" uri="{C3380CC4-5D6E-409C-BE32-E72D297353CC}">
              <c16:uniqueId val="{00000000-0B9E-4DBA-B91E-9503A46AF108}"/>
            </c:ext>
          </c:extLst>
        </c:ser>
        <c:ser>
          <c:idx val="1"/>
          <c:order val="1"/>
          <c:tx>
            <c:strRef>
              <c:f>'17'!$C$3:$C$4</c:f>
              <c:strCache>
                <c:ptCount val="1"/>
                <c:pt idx="0">
                  <c:v>Male</c:v>
                </c:pt>
              </c:strCache>
            </c:strRef>
          </c:tx>
          <c:spPr>
            <a:solidFill>
              <a:schemeClr val="accent2"/>
            </a:solidFill>
            <a:ln>
              <a:noFill/>
            </a:ln>
            <a:effectLst/>
          </c:spPr>
          <c:invertIfNegative val="0"/>
          <c:cat>
            <c:strRef>
              <c:f>'17'!$A$5:$A$17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'17'!$C$5:$C$17</c:f>
              <c:numCache>
                <c:formatCode>General</c:formatCode>
                <c:ptCount val="12"/>
                <c:pt idx="0">
                  <c:v>1390.0519000000002</c:v>
                </c:pt>
                <c:pt idx="1">
                  <c:v>1408.6180000000002</c:v>
                </c:pt>
                <c:pt idx="2">
                  <c:v>1301.0920000000001</c:v>
                </c:pt>
                <c:pt idx="3">
                  <c:v>1745.7826</c:v>
                </c:pt>
                <c:pt idx="4">
                  <c:v>1295.6402000000003</c:v>
                </c:pt>
                <c:pt idx="5">
                  <c:v>1901.0074000000002</c:v>
                </c:pt>
                <c:pt idx="6">
                  <c:v>1945.4829</c:v>
                </c:pt>
                <c:pt idx="7">
                  <c:v>1453.9329000000002</c:v>
                </c:pt>
                <c:pt idx="8">
                  <c:v>2105.0663</c:v>
                </c:pt>
                <c:pt idx="9">
                  <c:v>2120.8355000000001</c:v>
                </c:pt>
                <c:pt idx="10">
                  <c:v>536.65</c:v>
                </c:pt>
                <c:pt idx="11">
                  <c:v>1118.7489</c:v>
                </c:pt>
              </c:numCache>
            </c:numRef>
          </c:val>
          <c:extLst>
            <c:ext xmlns:c16="http://schemas.microsoft.com/office/drawing/2014/chart" uri="{C3380CC4-5D6E-409C-BE32-E72D297353CC}">
              <c16:uniqueId val="{00000001-0B9E-4DBA-B91E-9503A46AF108}"/>
            </c:ext>
          </c:extLst>
        </c:ser>
        <c:ser>
          <c:idx val="2"/>
          <c:order val="2"/>
          <c:tx>
            <c:strRef>
              <c:f>'17'!$D$3:$D$4</c:f>
              <c:strCache>
                <c:ptCount val="1"/>
                <c:pt idx="0">
                  <c:v>Other</c:v>
                </c:pt>
              </c:strCache>
            </c:strRef>
          </c:tx>
          <c:spPr>
            <a:solidFill>
              <a:schemeClr val="accent3"/>
            </a:solidFill>
            <a:ln>
              <a:noFill/>
            </a:ln>
            <a:effectLst/>
          </c:spPr>
          <c:invertIfNegative val="0"/>
          <c:cat>
            <c:strRef>
              <c:f>'17'!$A$5:$A$17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'17'!$D$5:$D$17</c:f>
              <c:numCache>
                <c:formatCode>General</c:formatCode>
                <c:ptCount val="12"/>
                <c:pt idx="0">
                  <c:v>3014.5928000000004</c:v>
                </c:pt>
                <c:pt idx="1">
                  <c:v>1389.2859000000003</c:v>
                </c:pt>
                <c:pt idx="2">
                  <c:v>1639.6911</c:v>
                </c:pt>
                <c:pt idx="3">
                  <c:v>2383.6727000000001</c:v>
                </c:pt>
                <c:pt idx="4">
                  <c:v>1385.14</c:v>
                </c:pt>
                <c:pt idx="5">
                  <c:v>1555.2862</c:v>
                </c:pt>
                <c:pt idx="6">
                  <c:v>2405.3753000000002</c:v>
                </c:pt>
                <c:pt idx="7">
                  <c:v>1525.4977999999999</c:v>
                </c:pt>
                <c:pt idx="8">
                  <c:v>2403.0837999999999</c:v>
                </c:pt>
                <c:pt idx="9">
                  <c:v>1119.7098000000001</c:v>
                </c:pt>
                <c:pt idx="10">
                  <c:v>2383.5383999999999</c:v>
                </c:pt>
                <c:pt idx="11">
                  <c:v>2417.1356999999998</c:v>
                </c:pt>
              </c:numCache>
            </c:numRef>
          </c:val>
          <c:extLst>
            <c:ext xmlns:c16="http://schemas.microsoft.com/office/drawing/2014/chart" uri="{C3380CC4-5D6E-409C-BE32-E72D297353CC}">
              <c16:uniqueId val="{00000002-0B9E-4DBA-B91E-9503A46AF108}"/>
            </c:ext>
          </c:extLst>
        </c:ser>
        <c:dLbls>
          <c:showLegendKey val="0"/>
          <c:showVal val="0"/>
          <c:showCatName val="0"/>
          <c:showSerName val="0"/>
          <c:showPercent val="0"/>
          <c:showBubbleSize val="0"/>
        </c:dLbls>
        <c:gapWidth val="182"/>
        <c:axId val="1086164016"/>
        <c:axId val="904531952"/>
      </c:barChart>
      <c:catAx>
        <c:axId val="108616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31952"/>
        <c:crosses val="autoZero"/>
        <c:auto val="1"/>
        <c:lblAlgn val="ctr"/>
        <c:lblOffset val="100"/>
        <c:noMultiLvlLbl val="0"/>
      </c:catAx>
      <c:valAx>
        <c:axId val="904531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16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[AMULYA EXCEL PROJECT.xlsx]14!PivotTable29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City-wise Total Orders</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18687858317322"/>
          <c:y val="0.25972222222222224"/>
          <c:w val="0.68732633590481562"/>
          <c:h val="0.63287839020122483"/>
        </c:manualLayout>
      </c:layout>
      <c:barChart>
        <c:barDir val="bar"/>
        <c:grouping val="clustered"/>
        <c:varyColors val="0"/>
        <c:ser>
          <c:idx val="0"/>
          <c:order val="0"/>
          <c:tx>
            <c:strRef>
              <c:f>'14'!$B$3</c:f>
              <c:strCache>
                <c:ptCount val="1"/>
                <c:pt idx="0">
                  <c:v>Total</c:v>
                </c:pt>
              </c:strCache>
            </c:strRef>
          </c:tx>
          <c:spPr>
            <a:solidFill>
              <a:schemeClr val="accent1"/>
            </a:solidFill>
            <a:ln>
              <a:noFill/>
            </a:ln>
            <a:effectLst/>
          </c:spPr>
          <c:invertIfNegative val="0"/>
          <c:cat>
            <c:strRef>
              <c:f>'14'!$A$4:$A$12</c:f>
              <c:strCache>
                <c:ptCount val="8"/>
                <c:pt idx="0">
                  <c:v>Houston</c:v>
                </c:pt>
                <c:pt idx="1">
                  <c:v>San Francisco</c:v>
                </c:pt>
                <c:pt idx="2">
                  <c:v>Los Angeles</c:v>
                </c:pt>
                <c:pt idx="3">
                  <c:v>Phoenix</c:v>
                </c:pt>
                <c:pt idx="4">
                  <c:v>Dallas</c:v>
                </c:pt>
                <c:pt idx="5">
                  <c:v>Chicago</c:v>
                </c:pt>
                <c:pt idx="6">
                  <c:v>New York</c:v>
                </c:pt>
                <c:pt idx="7">
                  <c:v>Miami</c:v>
                </c:pt>
              </c:strCache>
            </c:strRef>
          </c:cat>
          <c:val>
            <c:numRef>
              <c:f>'14'!$B$4:$B$12</c:f>
              <c:numCache>
                <c:formatCode>General</c:formatCode>
                <c:ptCount val="8"/>
                <c:pt idx="0">
                  <c:v>80</c:v>
                </c:pt>
                <c:pt idx="1">
                  <c:v>72</c:v>
                </c:pt>
                <c:pt idx="2">
                  <c:v>72</c:v>
                </c:pt>
                <c:pt idx="3">
                  <c:v>66</c:v>
                </c:pt>
                <c:pt idx="4">
                  <c:v>64</c:v>
                </c:pt>
                <c:pt idx="5">
                  <c:v>51</c:v>
                </c:pt>
                <c:pt idx="6">
                  <c:v>51</c:v>
                </c:pt>
                <c:pt idx="7">
                  <c:v>44</c:v>
                </c:pt>
              </c:numCache>
            </c:numRef>
          </c:val>
          <c:extLst>
            <c:ext xmlns:c16="http://schemas.microsoft.com/office/drawing/2014/chart" uri="{C3380CC4-5D6E-409C-BE32-E72D297353CC}">
              <c16:uniqueId val="{00000000-8E66-4161-B669-25404EDCAB40}"/>
            </c:ext>
          </c:extLst>
        </c:ser>
        <c:dLbls>
          <c:showLegendKey val="0"/>
          <c:showVal val="0"/>
          <c:showCatName val="0"/>
          <c:showSerName val="0"/>
          <c:showPercent val="0"/>
          <c:showBubbleSize val="0"/>
        </c:dLbls>
        <c:gapWidth val="182"/>
        <c:axId val="965913136"/>
        <c:axId val="904485872"/>
      </c:barChart>
      <c:catAx>
        <c:axId val="965913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485872"/>
        <c:crosses val="autoZero"/>
        <c:auto val="1"/>
        <c:lblAlgn val="ctr"/>
        <c:lblOffset val="100"/>
        <c:noMultiLvlLbl val="0"/>
      </c:catAx>
      <c:valAx>
        <c:axId val="904485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1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[AMULYA EXCEL PROJECT.xlsx]15!PivotTable30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City-wise Total Amount after Discount and Delivery Charge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'15'!$B$3</c:f>
              <c:strCache>
                <c:ptCount val="1"/>
                <c:pt idx="0">
                  <c:v>Total</c:v>
                </c:pt>
              </c:strCache>
            </c:strRef>
          </c:tx>
          <c:spPr>
            <a:solidFill>
              <a:schemeClr val="accent1"/>
            </a:solidFill>
            <a:ln>
              <a:noFill/>
            </a:ln>
            <a:effectLst/>
          </c:spPr>
          <c:invertIfNegative val="0"/>
          <c:cat>
            <c:strRef>
              <c:f>'15'!$A$4:$A$12</c:f>
              <c:strCache>
                <c:ptCount val="8"/>
                <c:pt idx="0">
                  <c:v>Houston</c:v>
                </c:pt>
                <c:pt idx="1">
                  <c:v>San Francisco</c:v>
                </c:pt>
                <c:pt idx="2">
                  <c:v>Phoenix</c:v>
                </c:pt>
                <c:pt idx="3">
                  <c:v>Los Angeles</c:v>
                </c:pt>
                <c:pt idx="4">
                  <c:v>Dallas</c:v>
                </c:pt>
                <c:pt idx="5">
                  <c:v>New York</c:v>
                </c:pt>
                <c:pt idx="6">
                  <c:v>Chicago</c:v>
                </c:pt>
                <c:pt idx="7">
                  <c:v>Miami</c:v>
                </c:pt>
              </c:strCache>
            </c:strRef>
          </c:cat>
          <c:val>
            <c:numRef>
              <c:f>'15'!$B$4:$B$12</c:f>
              <c:numCache>
                <c:formatCode>General</c:formatCode>
                <c:ptCount val="8"/>
                <c:pt idx="0">
                  <c:v>10052.2196</c:v>
                </c:pt>
                <c:pt idx="1">
                  <c:v>9022.9591999999975</c:v>
                </c:pt>
                <c:pt idx="2">
                  <c:v>7817.0542000000041</c:v>
                </c:pt>
                <c:pt idx="3">
                  <c:v>7778.0241000000015</c:v>
                </c:pt>
                <c:pt idx="4">
                  <c:v>7729.502999999997</c:v>
                </c:pt>
                <c:pt idx="5">
                  <c:v>6285.9825000000001</c:v>
                </c:pt>
                <c:pt idx="6">
                  <c:v>5441.7730000000029</c:v>
                </c:pt>
                <c:pt idx="7">
                  <c:v>4700.2147000000014</c:v>
                </c:pt>
              </c:numCache>
            </c:numRef>
          </c:val>
          <c:extLst>
            <c:ext xmlns:c16="http://schemas.microsoft.com/office/drawing/2014/chart" uri="{C3380CC4-5D6E-409C-BE32-E72D297353CC}">
              <c16:uniqueId val="{00000000-4941-44C3-89E0-10E093FDF73A}"/>
            </c:ext>
          </c:extLst>
        </c:ser>
        <c:dLbls>
          <c:showLegendKey val="0"/>
          <c:showVal val="0"/>
          <c:showCatName val="0"/>
          <c:showSerName val="0"/>
          <c:showPercent val="0"/>
          <c:showBubbleSize val="0"/>
        </c:dLbls>
        <c:gapWidth val="219"/>
        <c:overlap val="-27"/>
        <c:axId val="919586592"/>
        <c:axId val="904514672"/>
      </c:barChart>
      <c:catAx>
        <c:axId val="91958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14672"/>
        <c:crosses val="autoZero"/>
        <c:auto val="1"/>
        <c:lblAlgn val="ctr"/>
        <c:lblOffset val="100"/>
        <c:noMultiLvlLbl val="0"/>
      </c:catAx>
      <c:valAx>
        <c:axId val="904514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58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9.xml"/><Relationship Id="rId2" Type="http://schemas.openxmlformats.org/officeDocument/2006/relationships/image" Target="../media/image2.svg"/><Relationship Id="rId16" Type="http://schemas.openxmlformats.org/officeDocument/2006/relationships/chart" Target="../charts/chart8.xml"/><Relationship Id="rId20"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image" Target="../media/image10.svg"/><Relationship Id="rId19" Type="http://schemas.openxmlformats.org/officeDocument/2006/relationships/chart" Target="../charts/chart11.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5</xdr:col>
      <xdr:colOff>601980</xdr:colOff>
      <xdr:row>6</xdr:row>
      <xdr:rowOff>49530</xdr:rowOff>
    </xdr:from>
    <xdr:to>
      <xdr:col>13</xdr:col>
      <xdr:colOff>586746</xdr:colOff>
      <xdr:row>22</xdr:row>
      <xdr:rowOff>0</xdr:rowOff>
    </xdr:to>
    <xdr:graphicFrame macro="">
      <xdr:nvGraphicFramePr>
        <xdr:cNvPr id="2" name="Chart 1">
          <a:extLst>
            <a:ext uri="{FF2B5EF4-FFF2-40B4-BE49-F238E27FC236}">
              <a16:creationId xmlns:a16="http://schemas.microsoft.com/office/drawing/2014/main" id="{D24E1CD3-CCC5-76DC-0C9D-5A9BEE023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304806</xdr:colOff>
      <xdr:row>0</xdr:row>
      <xdr:rowOff>57150</xdr:rowOff>
    </xdr:from>
    <xdr:to>
      <xdr:col>10</xdr:col>
      <xdr:colOff>6</xdr:colOff>
      <xdr:row>15</xdr:row>
      <xdr:rowOff>57150</xdr:rowOff>
    </xdr:to>
    <xdr:graphicFrame macro="">
      <xdr:nvGraphicFramePr>
        <xdr:cNvPr id="2" name="Chart 1">
          <a:extLst>
            <a:ext uri="{FF2B5EF4-FFF2-40B4-BE49-F238E27FC236}">
              <a16:creationId xmlns:a16="http://schemas.microsoft.com/office/drawing/2014/main" id="{9B810F57-B26B-6DD9-6DF5-150B713B8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281946</xdr:colOff>
      <xdr:row>3</xdr:row>
      <xdr:rowOff>11430</xdr:rowOff>
    </xdr:from>
    <xdr:to>
      <xdr:col>11</xdr:col>
      <xdr:colOff>586746</xdr:colOff>
      <xdr:row>18</xdr:row>
      <xdr:rowOff>11430</xdr:rowOff>
    </xdr:to>
    <xdr:graphicFrame macro="">
      <xdr:nvGraphicFramePr>
        <xdr:cNvPr id="2" name="Chart 1">
          <a:extLst>
            <a:ext uri="{FF2B5EF4-FFF2-40B4-BE49-F238E27FC236}">
              <a16:creationId xmlns:a16="http://schemas.microsoft.com/office/drawing/2014/main" id="{A40EFB5D-397E-0A8B-6D81-D2011B590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525786</xdr:colOff>
      <xdr:row>4</xdr:row>
      <xdr:rowOff>19050</xdr:rowOff>
    </xdr:from>
    <xdr:to>
      <xdr:col>12</xdr:col>
      <xdr:colOff>220986</xdr:colOff>
      <xdr:row>19</xdr:row>
      <xdr:rowOff>19050</xdr:rowOff>
    </xdr:to>
    <xdr:graphicFrame macro="">
      <xdr:nvGraphicFramePr>
        <xdr:cNvPr id="2" name="Chart 1">
          <a:extLst>
            <a:ext uri="{FF2B5EF4-FFF2-40B4-BE49-F238E27FC236}">
              <a16:creationId xmlns:a16="http://schemas.microsoft.com/office/drawing/2014/main" id="{498E40A2-61B0-FC63-EF8C-424E2EF52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487686</xdr:colOff>
      <xdr:row>4</xdr:row>
      <xdr:rowOff>118110</xdr:rowOff>
    </xdr:from>
    <xdr:to>
      <xdr:col>12</xdr:col>
      <xdr:colOff>182886</xdr:colOff>
      <xdr:row>19</xdr:row>
      <xdr:rowOff>118110</xdr:rowOff>
    </xdr:to>
    <xdr:graphicFrame macro="">
      <xdr:nvGraphicFramePr>
        <xdr:cNvPr id="2" name="Chart 1">
          <a:extLst>
            <a:ext uri="{FF2B5EF4-FFF2-40B4-BE49-F238E27FC236}">
              <a16:creationId xmlns:a16="http://schemas.microsoft.com/office/drawing/2014/main" id="{2B269F9D-32FC-8BE1-3484-657C99AB2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396240</xdr:colOff>
      <xdr:row>5</xdr:row>
      <xdr:rowOff>34290</xdr:rowOff>
    </xdr:from>
    <xdr:to>
      <xdr:col>17</xdr:col>
      <xdr:colOff>91440</xdr:colOff>
      <xdr:row>20</xdr:row>
      <xdr:rowOff>34290</xdr:rowOff>
    </xdr:to>
    <xdr:graphicFrame macro="">
      <xdr:nvGraphicFramePr>
        <xdr:cNvPr id="2" name="Chart 1">
          <a:extLst>
            <a:ext uri="{FF2B5EF4-FFF2-40B4-BE49-F238E27FC236}">
              <a16:creationId xmlns:a16="http://schemas.microsoft.com/office/drawing/2014/main" id="{A977AB08-110F-B425-8043-02D2B3CA2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220980</xdr:colOff>
      <xdr:row>0</xdr:row>
      <xdr:rowOff>160020</xdr:rowOff>
    </xdr:from>
    <xdr:to>
      <xdr:col>23</xdr:col>
      <xdr:colOff>99060</xdr:colOff>
      <xdr:row>74</xdr:row>
      <xdr:rowOff>0</xdr:rowOff>
    </xdr:to>
    <xdr:sp macro="" textlink="">
      <xdr:nvSpPr>
        <xdr:cNvPr id="2" name="Rectangle: Rounded Corners 1">
          <a:extLst>
            <a:ext uri="{FF2B5EF4-FFF2-40B4-BE49-F238E27FC236}">
              <a16:creationId xmlns:a16="http://schemas.microsoft.com/office/drawing/2014/main" id="{879847B9-894B-780A-81E0-719FB2B779F2}"/>
            </a:ext>
          </a:extLst>
        </xdr:cNvPr>
        <xdr:cNvSpPr/>
      </xdr:nvSpPr>
      <xdr:spPr>
        <a:xfrm>
          <a:off x="220980" y="160020"/>
          <a:ext cx="14088350" cy="13555980"/>
        </a:xfrm>
        <a:prstGeom prst="roundRect">
          <a:avLst>
            <a:gd name="adj" fmla="val 3772"/>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318951</xdr:colOff>
      <xdr:row>1</xdr:row>
      <xdr:rowOff>65314</xdr:rowOff>
    </xdr:from>
    <xdr:to>
      <xdr:col>23</xdr:col>
      <xdr:colOff>14151</xdr:colOff>
      <xdr:row>73</xdr:row>
      <xdr:rowOff>91440</xdr:rowOff>
    </xdr:to>
    <xdr:sp macro="" textlink="">
      <xdr:nvSpPr>
        <xdr:cNvPr id="3" name="Rectangle: Rounded Corners 2">
          <a:extLst>
            <a:ext uri="{FF2B5EF4-FFF2-40B4-BE49-F238E27FC236}">
              <a16:creationId xmlns:a16="http://schemas.microsoft.com/office/drawing/2014/main" id="{1B33ADEE-BBA8-4782-A460-B1971184F760}"/>
            </a:ext>
          </a:extLst>
        </xdr:cNvPr>
        <xdr:cNvSpPr/>
      </xdr:nvSpPr>
      <xdr:spPr>
        <a:xfrm>
          <a:off x="318951" y="237379"/>
          <a:ext cx="13829071" cy="12414771"/>
        </a:xfrm>
        <a:prstGeom prst="roundRect">
          <a:avLst>
            <a:gd name="adj" fmla="val 4141"/>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4800" b="1" i="1">
              <a:solidFill>
                <a:schemeClr val="accent4">
                  <a:lumMod val="75000"/>
                </a:schemeClr>
              </a:solidFill>
              <a:latin typeface="Times New Roman" panose="02020603050405020304" pitchFamily="18" charset="0"/>
              <a:cs typeface="Times New Roman" panose="02020603050405020304" pitchFamily="18" charset="0"/>
            </a:rPr>
            <a:t>E-COMMERCE</a:t>
          </a:r>
          <a:r>
            <a:rPr lang="en-IN" sz="4800" b="1" i="1" baseline="0">
              <a:solidFill>
                <a:schemeClr val="accent4">
                  <a:lumMod val="75000"/>
                </a:schemeClr>
              </a:solidFill>
              <a:latin typeface="Times New Roman" panose="02020603050405020304" pitchFamily="18" charset="0"/>
              <a:cs typeface="Times New Roman" panose="02020603050405020304" pitchFamily="18" charset="0"/>
            </a:rPr>
            <a:t> SALES DASHBOARD</a:t>
          </a:r>
          <a:endParaRPr lang="en-IN" sz="4800" b="1" i="1">
            <a:solidFill>
              <a:schemeClr val="accent4">
                <a:lumMod val="75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518160</xdr:colOff>
      <xdr:row>7</xdr:row>
      <xdr:rowOff>129540</xdr:rowOff>
    </xdr:from>
    <xdr:to>
      <xdr:col>3</xdr:col>
      <xdr:colOff>518160</xdr:colOff>
      <xdr:row>21</xdr:row>
      <xdr:rowOff>83820</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96F6B09C-7DDE-C625-9B80-E7A04FD7636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18160" y="1409700"/>
              <a:ext cx="182880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518160</xdr:colOff>
      <xdr:row>22</xdr:row>
      <xdr:rowOff>137161</xdr:rowOff>
    </xdr:from>
    <xdr:to>
      <xdr:col>3</xdr:col>
      <xdr:colOff>518160</xdr:colOff>
      <xdr:row>29</xdr:row>
      <xdr:rowOff>45721</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0D624FF9-71E0-58E2-94C0-44837211DDA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8160" y="416052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510540</xdr:colOff>
      <xdr:row>30</xdr:row>
      <xdr:rowOff>114301</xdr:rowOff>
    </xdr:from>
    <xdr:to>
      <xdr:col>3</xdr:col>
      <xdr:colOff>510540</xdr:colOff>
      <xdr:row>41</xdr:row>
      <xdr:rowOff>30481</xdr:rowOff>
    </xdr:to>
    <mc:AlternateContent xmlns:mc="http://schemas.openxmlformats.org/markup-compatibility/2006" xmlns:a14="http://schemas.microsoft.com/office/drawing/2010/main">
      <mc:Choice Requires="a14">
        <xdr:graphicFrame macro="">
          <xdr:nvGraphicFramePr>
            <xdr:cNvPr id="7" name="Coupon_Code">
              <a:extLst>
                <a:ext uri="{FF2B5EF4-FFF2-40B4-BE49-F238E27FC236}">
                  <a16:creationId xmlns:a16="http://schemas.microsoft.com/office/drawing/2014/main" id="{59D923FC-8032-E412-5635-9B42BBA0BAE3}"/>
                </a:ext>
              </a:extLst>
            </xdr:cNvPr>
            <xdr:cNvGraphicFramePr/>
          </xdr:nvGraphicFramePr>
          <xdr:xfrm>
            <a:off x="0" y="0"/>
            <a:ext cx="0" cy="0"/>
          </xdr:xfrm>
          <a:graphic>
            <a:graphicData uri="http://schemas.microsoft.com/office/drawing/2010/slicer">
              <sle:slicer xmlns:sle="http://schemas.microsoft.com/office/drawing/2010/slicer" name="Coupon_Code"/>
            </a:graphicData>
          </a:graphic>
        </xdr:graphicFrame>
      </mc:Choice>
      <mc:Fallback xmlns="">
        <xdr:sp macro="" textlink="">
          <xdr:nvSpPr>
            <xdr:cNvPr id="0" name=""/>
            <xdr:cNvSpPr>
              <a:spLocks noTextEdit="1"/>
            </xdr:cNvSpPr>
          </xdr:nvSpPr>
          <xdr:spPr>
            <a:xfrm>
              <a:off x="510540" y="5600701"/>
              <a:ext cx="182880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510540</xdr:colOff>
      <xdr:row>42</xdr:row>
      <xdr:rowOff>76200</xdr:rowOff>
    </xdr:from>
    <xdr:to>
      <xdr:col>3</xdr:col>
      <xdr:colOff>510540</xdr:colOff>
      <xdr:row>55</xdr:row>
      <xdr:rowOff>165735</xdr:rowOff>
    </xdr:to>
    <mc:AlternateContent xmlns:mc="http://schemas.openxmlformats.org/markup-compatibility/2006" xmlns:a14="http://schemas.microsoft.com/office/drawing/2010/main">
      <mc:Choice Requires="a14">
        <xdr:graphicFrame macro="">
          <xdr:nvGraphicFramePr>
            <xdr:cNvPr id="8" name="Product_ID">
              <a:extLst>
                <a:ext uri="{FF2B5EF4-FFF2-40B4-BE49-F238E27FC236}">
                  <a16:creationId xmlns:a16="http://schemas.microsoft.com/office/drawing/2014/main" id="{4DA205B8-AA8A-D7D0-465D-A11502967F68}"/>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510540" y="7757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281283</xdr:colOff>
      <xdr:row>7</xdr:row>
      <xdr:rowOff>120348</xdr:rowOff>
    </xdr:from>
    <xdr:to>
      <xdr:col>13</xdr:col>
      <xdr:colOff>273663</xdr:colOff>
      <xdr:row>11</xdr:row>
      <xdr:rowOff>143208</xdr:rowOff>
    </xdr:to>
    <xdr:grpSp>
      <xdr:nvGrpSpPr>
        <xdr:cNvPr id="17" name="Group 16">
          <a:extLst>
            <a:ext uri="{FF2B5EF4-FFF2-40B4-BE49-F238E27FC236}">
              <a16:creationId xmlns:a16="http://schemas.microsoft.com/office/drawing/2014/main" id="{A59C36CB-107D-E55B-DEA6-F2428BF4B1EA}"/>
            </a:ext>
          </a:extLst>
        </xdr:cNvPr>
        <xdr:cNvGrpSpPr/>
      </xdr:nvGrpSpPr>
      <xdr:grpSpPr>
        <a:xfrm>
          <a:off x="5853408" y="1453848"/>
          <a:ext cx="2468880" cy="784860"/>
          <a:chOff x="5767683" y="1400508"/>
          <a:chExt cx="2430780" cy="754380"/>
        </a:xfrm>
      </xdr:grpSpPr>
      <xdr:sp macro="" textlink="">
        <xdr:nvSpPr>
          <xdr:cNvPr id="11" name="Rectangle: Rounded Corners 10">
            <a:extLst>
              <a:ext uri="{FF2B5EF4-FFF2-40B4-BE49-F238E27FC236}">
                <a16:creationId xmlns:a16="http://schemas.microsoft.com/office/drawing/2014/main" id="{0F0313EA-AF3B-42F6-A1CD-7E28280C26C4}"/>
              </a:ext>
            </a:extLst>
          </xdr:cNvPr>
          <xdr:cNvSpPr/>
        </xdr:nvSpPr>
        <xdr:spPr>
          <a:xfrm>
            <a:off x="5767683" y="1423368"/>
            <a:ext cx="2430780" cy="701040"/>
          </a:xfrm>
          <a:prstGeom prst="roundRect">
            <a:avLst>
              <a:gd name="adj" fmla="val 35145"/>
            </a:avLst>
          </a:prstGeom>
          <a:solidFill>
            <a:schemeClr val="accent4">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b="1" i="1">
                <a:latin typeface="Times New Roman" panose="02020603050405020304" pitchFamily="18" charset="0"/>
                <a:cs typeface="Times New Roman" panose="02020603050405020304" pitchFamily="18" charset="0"/>
              </a:rPr>
              <a:t>ORDER AMOUNT</a:t>
            </a:r>
          </a:p>
          <a:p>
            <a:pPr algn="l"/>
            <a:r>
              <a:rPr lang="en-IN" sz="2000" b="1" i="1">
                <a:latin typeface="Times New Roman" panose="02020603050405020304" pitchFamily="18" charset="0"/>
                <a:cs typeface="Times New Roman" panose="02020603050405020304" pitchFamily="18" charset="0"/>
              </a:rPr>
              <a:t>$2482.95</a:t>
            </a:r>
          </a:p>
        </xdr:txBody>
      </xdr:sp>
      <xdr:pic>
        <xdr:nvPicPr>
          <xdr:cNvPr id="23" name="Graphic 22" descr="Money with solid fill">
            <a:extLst>
              <a:ext uri="{FF2B5EF4-FFF2-40B4-BE49-F238E27FC236}">
                <a16:creationId xmlns:a16="http://schemas.microsoft.com/office/drawing/2014/main" id="{E6914257-D8B9-4C87-D37A-9160ACCCA0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0" y="1400508"/>
            <a:ext cx="754380" cy="754380"/>
          </a:xfrm>
          <a:prstGeom prst="rect">
            <a:avLst/>
          </a:prstGeom>
        </xdr:spPr>
      </xdr:pic>
    </xdr:grpSp>
    <xdr:clientData/>
  </xdr:twoCellAnchor>
  <xdr:twoCellAnchor>
    <xdr:from>
      <xdr:col>4</xdr:col>
      <xdr:colOff>342900</xdr:colOff>
      <xdr:row>13</xdr:row>
      <xdr:rowOff>22860</xdr:rowOff>
    </xdr:from>
    <xdr:to>
      <xdr:col>8</xdr:col>
      <xdr:colOff>335280</xdr:colOff>
      <xdr:row>17</xdr:row>
      <xdr:rowOff>45720</xdr:rowOff>
    </xdr:to>
    <xdr:grpSp>
      <xdr:nvGrpSpPr>
        <xdr:cNvPr id="20" name="Group 19">
          <a:extLst>
            <a:ext uri="{FF2B5EF4-FFF2-40B4-BE49-F238E27FC236}">
              <a16:creationId xmlns:a16="http://schemas.microsoft.com/office/drawing/2014/main" id="{F8E29AD3-0FE7-D8EC-5941-14E2D2DBD253}"/>
            </a:ext>
          </a:extLst>
        </xdr:cNvPr>
        <xdr:cNvGrpSpPr/>
      </xdr:nvGrpSpPr>
      <xdr:grpSpPr>
        <a:xfrm>
          <a:off x="2819400" y="2499360"/>
          <a:ext cx="2468880" cy="784860"/>
          <a:chOff x="2781300" y="2400300"/>
          <a:chExt cx="2430780" cy="754380"/>
        </a:xfrm>
      </xdr:grpSpPr>
      <xdr:sp macro="" textlink="">
        <xdr:nvSpPr>
          <xdr:cNvPr id="12" name="Rectangle: Rounded Corners 11">
            <a:extLst>
              <a:ext uri="{FF2B5EF4-FFF2-40B4-BE49-F238E27FC236}">
                <a16:creationId xmlns:a16="http://schemas.microsoft.com/office/drawing/2014/main" id="{7E6CEEE5-738D-4F0B-ADAD-245F6D0401DB}"/>
              </a:ext>
            </a:extLst>
          </xdr:cNvPr>
          <xdr:cNvSpPr/>
        </xdr:nvSpPr>
        <xdr:spPr>
          <a:xfrm>
            <a:off x="2781300" y="2400300"/>
            <a:ext cx="2430780" cy="701040"/>
          </a:xfrm>
          <a:prstGeom prst="roundRect">
            <a:avLst>
              <a:gd name="adj" fmla="val 35145"/>
            </a:avLst>
          </a:prstGeom>
          <a:solidFill>
            <a:schemeClr val="accent2">
              <a:lumMod val="7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200" b="1" i="1">
                <a:solidFill>
                  <a:srgbClr val="FFFF00"/>
                </a:solidFill>
                <a:latin typeface="Times New Roman" panose="02020603050405020304" pitchFamily="18" charset="0"/>
                <a:cs typeface="Times New Roman" panose="02020603050405020304" pitchFamily="18" charset="0"/>
              </a:rPr>
              <a:t>AVERAGE AGE</a:t>
            </a:r>
          </a:p>
        </xdr:txBody>
      </xdr:sp>
      <xdr:sp macro="" textlink="">
        <xdr:nvSpPr>
          <xdr:cNvPr id="24" name="TextBox 23">
            <a:extLst>
              <a:ext uri="{FF2B5EF4-FFF2-40B4-BE49-F238E27FC236}">
                <a16:creationId xmlns:a16="http://schemas.microsoft.com/office/drawing/2014/main" id="{874B129A-A304-ED12-A030-2E9426183AB8}"/>
              </a:ext>
            </a:extLst>
          </xdr:cNvPr>
          <xdr:cNvSpPr txBox="1"/>
        </xdr:nvSpPr>
        <xdr:spPr>
          <a:xfrm>
            <a:off x="2926080" y="2743199"/>
            <a:ext cx="1950720" cy="358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2000" b="1" i="1">
                <a:solidFill>
                  <a:srgbClr val="FFFF00"/>
                </a:solidFill>
                <a:latin typeface="Times New Roman" panose="02020603050405020304" pitchFamily="18" charset="0"/>
                <a:cs typeface="Times New Roman" panose="02020603050405020304" pitchFamily="18" charset="0"/>
              </a:rPr>
              <a:t>35.6 </a:t>
            </a:r>
          </a:p>
        </xdr:txBody>
      </xdr:sp>
      <xdr:pic>
        <xdr:nvPicPr>
          <xdr:cNvPr id="26" name="Graphic 25" descr="Bar chart with solid fill">
            <a:extLst>
              <a:ext uri="{FF2B5EF4-FFF2-40B4-BE49-F238E27FC236}">
                <a16:creationId xmlns:a16="http://schemas.microsoft.com/office/drawing/2014/main" id="{DDA9786B-FDD0-7120-04E7-4F942A2F51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67200" y="2446020"/>
            <a:ext cx="914400" cy="708660"/>
          </a:xfrm>
          <a:prstGeom prst="rect">
            <a:avLst/>
          </a:prstGeom>
        </xdr:spPr>
      </xdr:pic>
    </xdr:grpSp>
    <xdr:clientData/>
  </xdr:twoCellAnchor>
  <xdr:twoCellAnchor>
    <xdr:from>
      <xdr:col>9</xdr:col>
      <xdr:colOff>304800</xdr:colOff>
      <xdr:row>13</xdr:row>
      <xdr:rowOff>68580</xdr:rowOff>
    </xdr:from>
    <xdr:to>
      <xdr:col>13</xdr:col>
      <xdr:colOff>312420</xdr:colOff>
      <xdr:row>17</xdr:row>
      <xdr:rowOff>38100</xdr:rowOff>
    </xdr:to>
    <xdr:grpSp>
      <xdr:nvGrpSpPr>
        <xdr:cNvPr id="21" name="Group 20">
          <a:extLst>
            <a:ext uri="{FF2B5EF4-FFF2-40B4-BE49-F238E27FC236}">
              <a16:creationId xmlns:a16="http://schemas.microsoft.com/office/drawing/2014/main" id="{A1937D1A-B7C5-632A-3D14-D76D268FA750}"/>
            </a:ext>
          </a:extLst>
        </xdr:cNvPr>
        <xdr:cNvGrpSpPr/>
      </xdr:nvGrpSpPr>
      <xdr:grpSpPr>
        <a:xfrm>
          <a:off x="5876925" y="2545080"/>
          <a:ext cx="2484120" cy="731520"/>
          <a:chOff x="5791200" y="2446020"/>
          <a:chExt cx="2446020" cy="701040"/>
        </a:xfrm>
      </xdr:grpSpPr>
      <xdr:sp macro="" textlink="">
        <xdr:nvSpPr>
          <xdr:cNvPr id="13" name="Rectangle: Rounded Corners 12">
            <a:extLst>
              <a:ext uri="{FF2B5EF4-FFF2-40B4-BE49-F238E27FC236}">
                <a16:creationId xmlns:a16="http://schemas.microsoft.com/office/drawing/2014/main" id="{FDB58484-51D8-4B7F-A47C-7B97739C85E9}"/>
              </a:ext>
            </a:extLst>
          </xdr:cNvPr>
          <xdr:cNvSpPr/>
        </xdr:nvSpPr>
        <xdr:spPr>
          <a:xfrm>
            <a:off x="5791200" y="2446020"/>
            <a:ext cx="2430780" cy="701040"/>
          </a:xfrm>
          <a:prstGeom prst="roundRect">
            <a:avLst>
              <a:gd name="adj" fmla="val 35145"/>
            </a:avLst>
          </a:prstGeom>
          <a:solidFill>
            <a:schemeClr val="accent4">
              <a:lumMod val="50000"/>
            </a:schemeClr>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200" b="1" i="1">
                <a:solidFill>
                  <a:srgbClr val="FFFF00"/>
                </a:solidFill>
                <a:latin typeface="Times New Roman" panose="02020603050405020304" pitchFamily="18" charset="0"/>
                <a:cs typeface="Times New Roman" panose="02020603050405020304" pitchFamily="18" charset="0"/>
              </a:rPr>
              <a:t>AVERAGE DAYS</a:t>
            </a:r>
          </a:p>
        </xdr:txBody>
      </xdr:sp>
      <xdr:sp macro="" textlink="">
        <xdr:nvSpPr>
          <xdr:cNvPr id="27" name="TextBox 26">
            <a:extLst>
              <a:ext uri="{FF2B5EF4-FFF2-40B4-BE49-F238E27FC236}">
                <a16:creationId xmlns:a16="http://schemas.microsoft.com/office/drawing/2014/main" id="{0B9F6CCC-3368-EC78-7065-8DDC184B2B1D}"/>
              </a:ext>
            </a:extLst>
          </xdr:cNvPr>
          <xdr:cNvSpPr txBox="1"/>
        </xdr:nvSpPr>
        <xdr:spPr>
          <a:xfrm>
            <a:off x="5951220" y="2743200"/>
            <a:ext cx="754380" cy="358140"/>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i="1">
                <a:solidFill>
                  <a:srgbClr val="FFFF00"/>
                </a:solidFill>
                <a:latin typeface="Times New Roman" panose="02020603050405020304" pitchFamily="18" charset="0"/>
                <a:cs typeface="Times New Roman" panose="02020603050405020304" pitchFamily="18" charset="0"/>
              </a:rPr>
              <a:t>5.2</a:t>
            </a:r>
          </a:p>
        </xdr:txBody>
      </xdr:sp>
      <xdr:pic>
        <xdr:nvPicPr>
          <xdr:cNvPr id="29" name="Graphic 28" descr="Daily calendar with solid fill">
            <a:extLst>
              <a:ext uri="{FF2B5EF4-FFF2-40B4-BE49-F238E27FC236}">
                <a16:creationId xmlns:a16="http://schemas.microsoft.com/office/drawing/2014/main" id="{7136A467-3C30-34AC-35E8-AAC9CC3BADC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77100" y="2484120"/>
            <a:ext cx="960120" cy="662940"/>
          </a:xfrm>
          <a:prstGeom prst="rect">
            <a:avLst/>
          </a:prstGeom>
        </xdr:spPr>
      </xdr:pic>
    </xdr:grpSp>
    <xdr:clientData/>
  </xdr:twoCellAnchor>
  <xdr:twoCellAnchor>
    <xdr:from>
      <xdr:col>7</xdr:col>
      <xdr:colOff>7620</xdr:colOff>
      <xdr:row>24</xdr:row>
      <xdr:rowOff>144780</xdr:rowOff>
    </xdr:from>
    <xdr:to>
      <xdr:col>11</xdr:col>
      <xdr:colOff>0</xdr:colOff>
      <xdr:row>29</xdr:row>
      <xdr:rowOff>45720</xdr:rowOff>
    </xdr:to>
    <xdr:grpSp>
      <xdr:nvGrpSpPr>
        <xdr:cNvPr id="28" name="Group 27">
          <a:extLst>
            <a:ext uri="{FF2B5EF4-FFF2-40B4-BE49-F238E27FC236}">
              <a16:creationId xmlns:a16="http://schemas.microsoft.com/office/drawing/2014/main" id="{10FC0F89-D6A5-2D46-85F6-F352843F25CF}"/>
            </a:ext>
          </a:extLst>
        </xdr:cNvPr>
        <xdr:cNvGrpSpPr/>
      </xdr:nvGrpSpPr>
      <xdr:grpSpPr>
        <a:xfrm>
          <a:off x="4341495" y="4716780"/>
          <a:ext cx="2468880" cy="853440"/>
          <a:chOff x="4274820" y="4533900"/>
          <a:chExt cx="2430780" cy="815340"/>
        </a:xfrm>
      </xdr:grpSpPr>
      <xdr:sp macro="" textlink="">
        <xdr:nvSpPr>
          <xdr:cNvPr id="16" name="Rectangle: Rounded Corners 15">
            <a:extLst>
              <a:ext uri="{FF2B5EF4-FFF2-40B4-BE49-F238E27FC236}">
                <a16:creationId xmlns:a16="http://schemas.microsoft.com/office/drawing/2014/main" id="{6C1A02B4-C3F0-4663-A2B7-25242D0F94BC}"/>
              </a:ext>
            </a:extLst>
          </xdr:cNvPr>
          <xdr:cNvSpPr/>
        </xdr:nvSpPr>
        <xdr:spPr>
          <a:xfrm>
            <a:off x="4274820" y="4533900"/>
            <a:ext cx="2430780" cy="769620"/>
          </a:xfrm>
          <a:prstGeom prst="roundRect">
            <a:avLst>
              <a:gd name="adj" fmla="val 35145"/>
            </a:avLst>
          </a:prstGeom>
          <a:solidFill>
            <a:schemeClr val="accent4">
              <a:lumMod val="60000"/>
              <a:lumOff val="4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200" b="1" i="1">
                <a:solidFill>
                  <a:srgbClr val="FFFF00"/>
                </a:solidFill>
                <a:latin typeface="Times New Roman" panose="02020603050405020304" pitchFamily="18" charset="0"/>
                <a:cs typeface="Times New Roman" panose="02020603050405020304" pitchFamily="18" charset="0"/>
              </a:rPr>
              <a:t>TOTAL SALES</a:t>
            </a:r>
          </a:p>
        </xdr:txBody>
      </xdr:sp>
      <xdr:sp macro="" textlink="">
        <xdr:nvSpPr>
          <xdr:cNvPr id="30" name="TextBox 29">
            <a:extLst>
              <a:ext uri="{FF2B5EF4-FFF2-40B4-BE49-F238E27FC236}">
                <a16:creationId xmlns:a16="http://schemas.microsoft.com/office/drawing/2014/main" id="{16533BF1-8C24-B52A-D63E-421BCD143459}"/>
              </a:ext>
            </a:extLst>
          </xdr:cNvPr>
          <xdr:cNvSpPr txBox="1"/>
        </xdr:nvSpPr>
        <xdr:spPr>
          <a:xfrm>
            <a:off x="4274821" y="4800600"/>
            <a:ext cx="1821179" cy="320040"/>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1">
                <a:solidFill>
                  <a:schemeClr val="accent4">
                    <a:lumMod val="60000"/>
                    <a:lumOff val="40000"/>
                  </a:schemeClr>
                </a:solidFill>
                <a:latin typeface="Times New Roman" panose="02020603050405020304" pitchFamily="18" charset="0"/>
                <a:cs typeface="Times New Roman" panose="02020603050405020304" pitchFamily="18" charset="0"/>
              </a:rPr>
              <a:t>  </a:t>
            </a:r>
            <a:r>
              <a:rPr lang="en-IN" sz="2000" b="1" i="1">
                <a:solidFill>
                  <a:srgbClr val="FFFF00"/>
                </a:solidFill>
                <a:latin typeface="Times New Roman" panose="02020603050405020304" pitchFamily="18" charset="0"/>
                <a:cs typeface="Times New Roman" panose="02020603050405020304" pitchFamily="18" charset="0"/>
              </a:rPr>
              <a:t>₹326,325</a:t>
            </a:r>
          </a:p>
        </xdr:txBody>
      </xdr:sp>
      <xdr:pic>
        <xdr:nvPicPr>
          <xdr:cNvPr id="32" name="Graphic 31" descr="Bar graph with upward trend with solid fill">
            <a:extLst>
              <a:ext uri="{FF2B5EF4-FFF2-40B4-BE49-F238E27FC236}">
                <a16:creationId xmlns:a16="http://schemas.microsoft.com/office/drawing/2014/main" id="{F7F7B44D-105C-0493-7473-7B4FE3E2081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53100" y="4572000"/>
            <a:ext cx="914400" cy="777240"/>
          </a:xfrm>
          <a:prstGeom prst="rect">
            <a:avLst/>
          </a:prstGeom>
        </xdr:spPr>
      </xdr:pic>
    </xdr:grpSp>
    <xdr:clientData/>
  </xdr:twoCellAnchor>
  <xdr:twoCellAnchor>
    <xdr:from>
      <xdr:col>9</xdr:col>
      <xdr:colOff>320040</xdr:colOff>
      <xdr:row>18</xdr:row>
      <xdr:rowOff>144780</xdr:rowOff>
    </xdr:from>
    <xdr:to>
      <xdr:col>13</xdr:col>
      <xdr:colOff>312420</xdr:colOff>
      <xdr:row>22</xdr:row>
      <xdr:rowOff>114300</xdr:rowOff>
    </xdr:to>
    <xdr:grpSp>
      <xdr:nvGrpSpPr>
        <xdr:cNvPr id="25" name="Group 24">
          <a:extLst>
            <a:ext uri="{FF2B5EF4-FFF2-40B4-BE49-F238E27FC236}">
              <a16:creationId xmlns:a16="http://schemas.microsoft.com/office/drawing/2014/main" id="{8F2DD5CC-FE1A-AD8D-6ED8-F23275B6B55E}"/>
            </a:ext>
          </a:extLst>
        </xdr:cNvPr>
        <xdr:cNvGrpSpPr/>
      </xdr:nvGrpSpPr>
      <xdr:grpSpPr>
        <a:xfrm>
          <a:off x="5892165" y="3573780"/>
          <a:ext cx="2468880" cy="731520"/>
          <a:chOff x="5806440" y="3436620"/>
          <a:chExt cx="2430780" cy="701040"/>
        </a:xfrm>
      </xdr:grpSpPr>
      <xdr:sp macro="" textlink="">
        <xdr:nvSpPr>
          <xdr:cNvPr id="15" name="Rectangle: Rounded Corners 14">
            <a:extLst>
              <a:ext uri="{FF2B5EF4-FFF2-40B4-BE49-F238E27FC236}">
                <a16:creationId xmlns:a16="http://schemas.microsoft.com/office/drawing/2014/main" id="{18B09929-D00E-4399-803E-7C11518EC964}"/>
              </a:ext>
            </a:extLst>
          </xdr:cNvPr>
          <xdr:cNvSpPr/>
        </xdr:nvSpPr>
        <xdr:spPr>
          <a:xfrm>
            <a:off x="5806440" y="3436620"/>
            <a:ext cx="2430780" cy="701040"/>
          </a:xfrm>
          <a:prstGeom prst="roundRect">
            <a:avLst>
              <a:gd name="adj" fmla="val 35145"/>
            </a:avLst>
          </a:prstGeom>
          <a:solidFill>
            <a:schemeClr val="accent1">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200" b="1" i="1">
                <a:latin typeface="Times New Roman" panose="02020603050405020304" pitchFamily="18" charset="0"/>
                <a:cs typeface="Times New Roman" panose="02020603050405020304" pitchFamily="18" charset="0"/>
              </a:rPr>
              <a:t>PRODUCTS</a:t>
            </a:r>
          </a:p>
        </xdr:txBody>
      </xdr:sp>
      <xdr:sp macro="" textlink="">
        <xdr:nvSpPr>
          <xdr:cNvPr id="34" name="TextBox 33">
            <a:extLst>
              <a:ext uri="{FF2B5EF4-FFF2-40B4-BE49-F238E27FC236}">
                <a16:creationId xmlns:a16="http://schemas.microsoft.com/office/drawing/2014/main" id="{F15E6EA5-BFC0-4A24-8967-0EC8B32E16B1}"/>
              </a:ext>
            </a:extLst>
          </xdr:cNvPr>
          <xdr:cNvSpPr txBox="1"/>
        </xdr:nvSpPr>
        <xdr:spPr>
          <a:xfrm>
            <a:off x="5951220" y="3749040"/>
            <a:ext cx="7162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i="1">
                <a:latin typeface="Times New Roman" panose="02020603050405020304" pitchFamily="18" charset="0"/>
                <a:cs typeface="Times New Roman" panose="02020603050405020304" pitchFamily="18" charset="0"/>
              </a:rPr>
              <a:t>50</a:t>
            </a:r>
          </a:p>
        </xdr:txBody>
      </xdr:sp>
      <xdr:pic>
        <xdr:nvPicPr>
          <xdr:cNvPr id="36" name="Graphic 35" descr="Shopping cart with solid fill">
            <a:extLst>
              <a:ext uri="{FF2B5EF4-FFF2-40B4-BE49-F238E27FC236}">
                <a16:creationId xmlns:a16="http://schemas.microsoft.com/office/drawing/2014/main" id="{1C1E2D57-389E-3C9A-68A0-BF600091D52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368540" y="3474720"/>
            <a:ext cx="868680" cy="662940"/>
          </a:xfrm>
          <a:prstGeom prst="rect">
            <a:avLst/>
          </a:prstGeom>
        </xdr:spPr>
      </xdr:pic>
    </xdr:grpSp>
    <xdr:clientData/>
  </xdr:twoCellAnchor>
  <xdr:twoCellAnchor>
    <xdr:from>
      <xdr:col>4</xdr:col>
      <xdr:colOff>365760</xdr:colOff>
      <xdr:row>18</xdr:row>
      <xdr:rowOff>137160</xdr:rowOff>
    </xdr:from>
    <xdr:to>
      <xdr:col>8</xdr:col>
      <xdr:colOff>358140</xdr:colOff>
      <xdr:row>22</xdr:row>
      <xdr:rowOff>106680</xdr:rowOff>
    </xdr:to>
    <xdr:grpSp>
      <xdr:nvGrpSpPr>
        <xdr:cNvPr id="22" name="Group 21">
          <a:extLst>
            <a:ext uri="{FF2B5EF4-FFF2-40B4-BE49-F238E27FC236}">
              <a16:creationId xmlns:a16="http://schemas.microsoft.com/office/drawing/2014/main" id="{046FAE6A-0FBE-C61B-471B-EC1AD51A7944}"/>
            </a:ext>
          </a:extLst>
        </xdr:cNvPr>
        <xdr:cNvGrpSpPr/>
      </xdr:nvGrpSpPr>
      <xdr:grpSpPr>
        <a:xfrm>
          <a:off x="2842260" y="3566160"/>
          <a:ext cx="2468880" cy="731520"/>
          <a:chOff x="2804160" y="3429000"/>
          <a:chExt cx="2430780" cy="701040"/>
        </a:xfrm>
      </xdr:grpSpPr>
      <xdr:sp macro="" textlink="">
        <xdr:nvSpPr>
          <xdr:cNvPr id="14" name="Rectangle: Rounded Corners 13">
            <a:extLst>
              <a:ext uri="{FF2B5EF4-FFF2-40B4-BE49-F238E27FC236}">
                <a16:creationId xmlns:a16="http://schemas.microsoft.com/office/drawing/2014/main" id="{34843344-090B-4339-B1E5-2DC52E8FD70E}"/>
              </a:ext>
            </a:extLst>
          </xdr:cNvPr>
          <xdr:cNvSpPr/>
        </xdr:nvSpPr>
        <xdr:spPr>
          <a:xfrm>
            <a:off x="2804160" y="3429000"/>
            <a:ext cx="2430780" cy="701040"/>
          </a:xfrm>
          <a:prstGeom prst="roundRect">
            <a:avLst>
              <a:gd name="adj" fmla="val 35145"/>
            </a:avLst>
          </a:prstGeom>
          <a:solidFill>
            <a:schemeClr val="accent3">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200" b="1" i="1">
                <a:latin typeface="Times New Roman" panose="02020603050405020304" pitchFamily="18" charset="0"/>
                <a:cs typeface="Times New Roman" panose="02020603050405020304" pitchFamily="18" charset="0"/>
              </a:rPr>
              <a:t>ORDERS</a:t>
            </a:r>
          </a:p>
        </xdr:txBody>
      </xdr:sp>
      <xdr:sp macro="" textlink="">
        <xdr:nvSpPr>
          <xdr:cNvPr id="33" name="TextBox 32">
            <a:extLst>
              <a:ext uri="{FF2B5EF4-FFF2-40B4-BE49-F238E27FC236}">
                <a16:creationId xmlns:a16="http://schemas.microsoft.com/office/drawing/2014/main" id="{5C91D6B8-7534-5D56-EA25-469AEBEFCC73}"/>
              </a:ext>
            </a:extLst>
          </xdr:cNvPr>
          <xdr:cNvSpPr txBox="1"/>
        </xdr:nvSpPr>
        <xdr:spPr>
          <a:xfrm>
            <a:off x="2926080" y="3749040"/>
            <a:ext cx="7315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1">
                <a:latin typeface="Times New Roman" panose="02020603050405020304" pitchFamily="18" charset="0"/>
                <a:cs typeface="Times New Roman" panose="02020603050405020304" pitchFamily="18" charset="0"/>
              </a:rPr>
              <a:t>500</a:t>
            </a:r>
          </a:p>
        </xdr:txBody>
      </xdr:sp>
      <xdr:pic>
        <xdr:nvPicPr>
          <xdr:cNvPr id="38" name="Graphic 37" descr="List with solid fill">
            <a:extLst>
              <a:ext uri="{FF2B5EF4-FFF2-40B4-BE49-F238E27FC236}">
                <a16:creationId xmlns:a16="http://schemas.microsoft.com/office/drawing/2014/main" id="{C579740C-2370-82EF-2446-B2C0B4E824D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65322" y="3520441"/>
            <a:ext cx="731518" cy="594359"/>
          </a:xfrm>
          <a:prstGeom prst="rect">
            <a:avLst/>
          </a:prstGeom>
        </xdr:spPr>
      </xdr:pic>
    </xdr:grpSp>
    <xdr:clientData/>
  </xdr:twoCellAnchor>
  <xdr:twoCellAnchor>
    <xdr:from>
      <xdr:col>4</xdr:col>
      <xdr:colOff>396240</xdr:colOff>
      <xdr:row>7</xdr:row>
      <xdr:rowOff>167640</xdr:rowOff>
    </xdr:from>
    <xdr:to>
      <xdr:col>8</xdr:col>
      <xdr:colOff>388620</xdr:colOff>
      <xdr:row>11</xdr:row>
      <xdr:rowOff>137160</xdr:rowOff>
    </xdr:to>
    <xdr:grpSp>
      <xdr:nvGrpSpPr>
        <xdr:cNvPr id="9" name="Group 8">
          <a:extLst>
            <a:ext uri="{FF2B5EF4-FFF2-40B4-BE49-F238E27FC236}">
              <a16:creationId xmlns:a16="http://schemas.microsoft.com/office/drawing/2014/main" id="{559F8C0F-449F-C0AF-E85A-97B563E06370}"/>
            </a:ext>
          </a:extLst>
        </xdr:cNvPr>
        <xdr:cNvGrpSpPr/>
      </xdr:nvGrpSpPr>
      <xdr:grpSpPr>
        <a:xfrm>
          <a:off x="2872740" y="1501140"/>
          <a:ext cx="2468880" cy="731520"/>
          <a:chOff x="2834640" y="1447800"/>
          <a:chExt cx="2430780" cy="701040"/>
        </a:xfrm>
      </xdr:grpSpPr>
      <xdr:sp macro="" textlink="">
        <xdr:nvSpPr>
          <xdr:cNvPr id="4" name="Rectangle: Rounded Corners 3">
            <a:extLst>
              <a:ext uri="{FF2B5EF4-FFF2-40B4-BE49-F238E27FC236}">
                <a16:creationId xmlns:a16="http://schemas.microsoft.com/office/drawing/2014/main" id="{54523099-28F2-4E3F-F194-0AF509F05641}"/>
              </a:ext>
            </a:extLst>
          </xdr:cNvPr>
          <xdr:cNvSpPr/>
        </xdr:nvSpPr>
        <xdr:spPr>
          <a:xfrm>
            <a:off x="2834640" y="1447800"/>
            <a:ext cx="2430780" cy="701040"/>
          </a:xfrm>
          <a:prstGeom prst="roundRect">
            <a:avLst>
              <a:gd name="adj" fmla="val 35145"/>
            </a:avLst>
          </a:prstGeom>
          <a:solidFill>
            <a:schemeClr val="accent3">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b="1" i="1" u="none">
                <a:solidFill>
                  <a:schemeClr val="tx2">
                    <a:lumMod val="95000"/>
                    <a:lumOff val="5000"/>
                  </a:schemeClr>
                </a:solidFill>
                <a:latin typeface="Times New Roman" panose="02020603050405020304" pitchFamily="18" charset="0"/>
                <a:cs typeface="Times New Roman" panose="02020603050405020304" pitchFamily="18" charset="0"/>
              </a:rPr>
              <a:t>TOTAL</a:t>
            </a:r>
            <a:r>
              <a:rPr lang="en-IN" sz="1100" b="1" i="1" u="none" baseline="0">
                <a:solidFill>
                  <a:schemeClr val="tx2">
                    <a:lumMod val="95000"/>
                    <a:lumOff val="5000"/>
                  </a:schemeClr>
                </a:solidFill>
                <a:latin typeface="Times New Roman" panose="02020603050405020304" pitchFamily="18" charset="0"/>
                <a:cs typeface="Times New Roman" panose="02020603050405020304" pitchFamily="18" charset="0"/>
              </a:rPr>
              <a:t> CUSTOMERS</a:t>
            </a:r>
          </a:p>
          <a:p>
            <a:pPr algn="l"/>
            <a:endParaRPr lang="en-IN" sz="1800" b="1" i="1" u="none" baseline="0">
              <a:solidFill>
                <a:schemeClr val="tx2"/>
              </a:solidFill>
              <a:latin typeface="Times New Roman" panose="02020603050405020304" pitchFamily="18" charset="0"/>
              <a:cs typeface="Times New Roman" panose="02020603050405020304" pitchFamily="18" charset="0"/>
            </a:endParaRPr>
          </a:p>
          <a:p>
            <a:pPr algn="l"/>
            <a:endParaRPr lang="en-IN" sz="1800">
              <a:solidFill>
                <a:schemeClr val="tx2"/>
              </a:solidFill>
            </a:endParaRPr>
          </a:p>
          <a:p>
            <a:pPr algn="l"/>
            <a:endParaRPr lang="en-IN" sz="1400" b="1" i="1" u="none" baseline="0">
              <a:solidFill>
                <a:schemeClr val="tx2">
                  <a:lumMod val="95000"/>
                  <a:lumOff val="5000"/>
                </a:schemeClr>
              </a:solidFill>
              <a:latin typeface="Times New Roman" panose="02020603050405020304" pitchFamily="18" charset="0"/>
              <a:cs typeface="Times New Roman" panose="02020603050405020304" pitchFamily="18" charset="0"/>
            </a:endParaRPr>
          </a:p>
          <a:p>
            <a:pPr algn="l"/>
            <a:endParaRPr lang="en-IN" sz="1100"/>
          </a:p>
        </xdr:txBody>
      </xdr:sp>
      <xdr:pic>
        <xdr:nvPicPr>
          <xdr:cNvPr id="18" name="Graphic 17" descr="Customer review with solid fill">
            <a:extLst>
              <a:ext uri="{FF2B5EF4-FFF2-40B4-BE49-F238E27FC236}">
                <a16:creationId xmlns:a16="http://schemas.microsoft.com/office/drawing/2014/main" id="{2B7DC45F-654A-45D5-2B94-9C019415E1F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351021" y="1524000"/>
            <a:ext cx="906780" cy="553290"/>
          </a:xfrm>
          <a:prstGeom prst="rect">
            <a:avLst/>
          </a:prstGeom>
        </xdr:spPr>
      </xdr:pic>
      <xdr:sp macro="" textlink="">
        <xdr:nvSpPr>
          <xdr:cNvPr id="19" name="TextBox 18">
            <a:extLst>
              <a:ext uri="{FF2B5EF4-FFF2-40B4-BE49-F238E27FC236}">
                <a16:creationId xmlns:a16="http://schemas.microsoft.com/office/drawing/2014/main" id="{5E059546-1A49-E9ED-7B1A-412550E37A1D}"/>
              </a:ext>
            </a:extLst>
          </xdr:cNvPr>
          <xdr:cNvSpPr txBox="1"/>
        </xdr:nvSpPr>
        <xdr:spPr>
          <a:xfrm>
            <a:off x="2926080" y="1720548"/>
            <a:ext cx="569387"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i="1">
                <a:latin typeface="Times New Roman" panose="02020603050405020304" pitchFamily="18" charset="0"/>
                <a:cs typeface="Times New Roman" panose="02020603050405020304" pitchFamily="18" charset="0"/>
              </a:rPr>
              <a:t>100</a:t>
            </a:r>
          </a:p>
        </xdr:txBody>
      </xdr:sp>
    </xdr:grpSp>
    <xdr:clientData/>
  </xdr:twoCellAnchor>
  <xdr:twoCellAnchor>
    <xdr:from>
      <xdr:col>4</xdr:col>
      <xdr:colOff>213360</xdr:colOff>
      <xdr:row>32</xdr:row>
      <xdr:rowOff>38100</xdr:rowOff>
    </xdr:from>
    <xdr:to>
      <xdr:col>12</xdr:col>
      <xdr:colOff>198126</xdr:colOff>
      <xdr:row>49</xdr:row>
      <xdr:rowOff>167640</xdr:rowOff>
    </xdr:to>
    <xdr:graphicFrame macro="">
      <xdr:nvGraphicFramePr>
        <xdr:cNvPr id="31" name="Chart 30">
          <a:extLst>
            <a:ext uri="{FF2B5EF4-FFF2-40B4-BE49-F238E27FC236}">
              <a16:creationId xmlns:a16="http://schemas.microsoft.com/office/drawing/2014/main" id="{509F2AD1-6650-4D66-BE7D-1A9E30B11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91440</xdr:colOff>
      <xdr:row>7</xdr:row>
      <xdr:rowOff>29390</xdr:rowOff>
    </xdr:from>
    <xdr:to>
      <xdr:col>22</xdr:col>
      <xdr:colOff>60959</xdr:colOff>
      <xdr:row>24</xdr:row>
      <xdr:rowOff>22860</xdr:rowOff>
    </xdr:to>
    <xdr:graphicFrame macro="">
      <xdr:nvGraphicFramePr>
        <xdr:cNvPr id="35" name="Chart 34">
          <a:extLst>
            <a:ext uri="{FF2B5EF4-FFF2-40B4-BE49-F238E27FC236}">
              <a16:creationId xmlns:a16="http://schemas.microsoft.com/office/drawing/2014/main" id="{17449081-8F2C-4370-8C6D-E68F9DF98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68580</xdr:colOff>
      <xdr:row>24</xdr:row>
      <xdr:rowOff>75110</xdr:rowOff>
    </xdr:from>
    <xdr:to>
      <xdr:col>22</xdr:col>
      <xdr:colOff>53340</xdr:colOff>
      <xdr:row>40</xdr:row>
      <xdr:rowOff>83819</xdr:rowOff>
    </xdr:to>
    <xdr:graphicFrame macro="">
      <xdr:nvGraphicFramePr>
        <xdr:cNvPr id="37" name="Chart 36">
          <a:extLst>
            <a:ext uri="{FF2B5EF4-FFF2-40B4-BE49-F238E27FC236}">
              <a16:creationId xmlns:a16="http://schemas.microsoft.com/office/drawing/2014/main" id="{FCB3E1D8-AD19-46B4-9470-5ACF805B3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219890</xdr:colOff>
      <xdr:row>52</xdr:row>
      <xdr:rowOff>67490</xdr:rowOff>
    </xdr:from>
    <xdr:to>
      <xdr:col>12</xdr:col>
      <xdr:colOff>205739</xdr:colOff>
      <xdr:row>72</xdr:row>
      <xdr:rowOff>15240</xdr:rowOff>
    </xdr:to>
    <xdr:graphicFrame macro="">
      <xdr:nvGraphicFramePr>
        <xdr:cNvPr id="39" name="Chart 38">
          <a:extLst>
            <a:ext uri="{FF2B5EF4-FFF2-40B4-BE49-F238E27FC236}">
              <a16:creationId xmlns:a16="http://schemas.microsoft.com/office/drawing/2014/main" id="{09222E90-0C9B-4543-B2EB-1BCB6B03B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52250</xdr:colOff>
      <xdr:row>40</xdr:row>
      <xdr:rowOff>144780</xdr:rowOff>
    </xdr:from>
    <xdr:to>
      <xdr:col>22</xdr:col>
      <xdr:colOff>60959</xdr:colOff>
      <xdr:row>56</xdr:row>
      <xdr:rowOff>144780</xdr:rowOff>
    </xdr:to>
    <xdr:graphicFrame macro="">
      <xdr:nvGraphicFramePr>
        <xdr:cNvPr id="40" name="Chart 39">
          <a:extLst>
            <a:ext uri="{FF2B5EF4-FFF2-40B4-BE49-F238E27FC236}">
              <a16:creationId xmlns:a16="http://schemas.microsoft.com/office/drawing/2014/main" id="{1B7FDAF4-9A4A-4EEC-8DFD-7AF508206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44630</xdr:colOff>
      <xdr:row>57</xdr:row>
      <xdr:rowOff>21770</xdr:rowOff>
    </xdr:from>
    <xdr:to>
      <xdr:col>22</xdr:col>
      <xdr:colOff>76199</xdr:colOff>
      <xdr:row>72</xdr:row>
      <xdr:rowOff>30479</xdr:rowOff>
    </xdr:to>
    <xdr:graphicFrame macro="">
      <xdr:nvGraphicFramePr>
        <xdr:cNvPr id="48" name="Chart 47">
          <a:extLst>
            <a:ext uri="{FF2B5EF4-FFF2-40B4-BE49-F238E27FC236}">
              <a16:creationId xmlns:a16="http://schemas.microsoft.com/office/drawing/2014/main" id="{C07738F9-90C8-4E88-B662-0EE11908B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495300</xdr:colOff>
      <xdr:row>57</xdr:row>
      <xdr:rowOff>45720</xdr:rowOff>
    </xdr:from>
    <xdr:to>
      <xdr:col>3</xdr:col>
      <xdr:colOff>495300</xdr:colOff>
      <xdr:row>71</xdr:row>
      <xdr:rowOff>99060</xdr:rowOff>
    </xdr:to>
    <mc:AlternateContent xmlns:mc="http://schemas.openxmlformats.org/markup-compatibility/2006" xmlns:a14="http://schemas.microsoft.com/office/drawing/2010/main">
      <mc:Choice Requires="a14">
        <xdr:graphicFrame macro="">
          <xdr:nvGraphicFramePr>
            <xdr:cNvPr id="53" name="Order_Month">
              <a:extLst>
                <a:ext uri="{FF2B5EF4-FFF2-40B4-BE49-F238E27FC236}">
                  <a16:creationId xmlns:a16="http://schemas.microsoft.com/office/drawing/2014/main" id="{29BC6D8F-8BA4-D874-6363-7C9A1CB2C477}"/>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495300" y="10469880"/>
              <a:ext cx="1828800" cy="2613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0.00157</cdr:x>
      <cdr:y>0</cdr:y>
    </cdr:from>
    <cdr:to>
      <cdr:x>0.99843</cdr:x>
      <cdr:y>0.17647</cdr:y>
    </cdr:to>
    <cdr:sp macro="" textlink="">
      <cdr:nvSpPr>
        <cdr:cNvPr id="2" name="Rectangle: Rounded Corners 1">
          <a:extLst xmlns:a="http://schemas.openxmlformats.org/drawingml/2006/main">
            <a:ext uri="{FF2B5EF4-FFF2-40B4-BE49-F238E27FC236}">
              <a16:creationId xmlns:a16="http://schemas.microsoft.com/office/drawing/2014/main" id="{770D6EA8-3395-1146-8BD0-AEA9874D2A3D}"/>
            </a:ext>
          </a:extLst>
        </cdr:cNvPr>
        <cdr:cNvSpPr/>
      </cdr:nvSpPr>
      <cdr:spPr>
        <a:xfrm xmlns:a="http://schemas.openxmlformats.org/drawingml/2006/main">
          <a:off x="7694" y="0"/>
          <a:ext cx="4885507" cy="539052"/>
        </a:xfrm>
        <a:prstGeom xmlns:a="http://schemas.openxmlformats.org/drawingml/2006/main" prst="roundRect">
          <a:avLst>
            <a:gd name="adj" fmla="val 3334"/>
          </a:avLst>
        </a:prstGeom>
        <a:solidFill xmlns:a="http://schemas.openxmlformats.org/drawingml/2006/main">
          <a:schemeClr val="accent1">
            <a:lumMod val="5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rtl="0"/>
          <a:r>
            <a:rPr lang="en-IN" sz="1600" b="0" i="0" baseline="0">
              <a:solidFill>
                <a:schemeClr val="lt1"/>
              </a:solidFill>
              <a:effectLst/>
              <a:latin typeface="Times New Roman" panose="02020603050405020304" pitchFamily="18" charset="0"/>
              <a:ea typeface="+mn-ea"/>
              <a:cs typeface="Times New Roman" panose="02020603050405020304" pitchFamily="18" charset="0"/>
            </a:rPr>
            <a:t>TOP 10 CUSTOMERS </a:t>
          </a:r>
          <a:endParaRPr lang="en-IN" sz="1600" b="0">
            <a:effectLst/>
            <a:latin typeface="Times New Roman" panose="02020603050405020304" pitchFamily="18" charset="0"/>
            <a:cs typeface="Times New Roman" panose="02020603050405020304" pitchFamily="18" charset="0"/>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cdr:x>
      <cdr:y>0</cdr:y>
    </cdr:from>
    <cdr:to>
      <cdr:x>1</cdr:x>
      <cdr:y>0.19224</cdr:y>
    </cdr:to>
    <cdr:sp macro="" textlink="">
      <cdr:nvSpPr>
        <cdr:cNvPr id="2" name="Rectangle: Rounded Corners 1">
          <a:extLst xmlns:a="http://schemas.openxmlformats.org/drawingml/2006/main">
            <a:ext uri="{FF2B5EF4-FFF2-40B4-BE49-F238E27FC236}">
              <a16:creationId xmlns:a16="http://schemas.microsoft.com/office/drawing/2014/main" id="{9D8412E5-E049-5E93-3910-88BF967157DF}"/>
            </a:ext>
          </a:extLst>
        </cdr:cNvPr>
        <cdr:cNvSpPr/>
      </cdr:nvSpPr>
      <cdr:spPr>
        <a:xfrm xmlns:a="http://schemas.openxmlformats.org/drawingml/2006/main">
          <a:off x="0" y="0"/>
          <a:ext cx="4846319" cy="571500"/>
        </a:xfrm>
        <a:prstGeom xmlns:a="http://schemas.openxmlformats.org/drawingml/2006/main" prst="roundRect">
          <a:avLst>
            <a:gd name="adj" fmla="val 3334"/>
          </a:avLst>
        </a:prstGeom>
        <a:solidFill xmlns:a="http://schemas.openxmlformats.org/drawingml/2006/main">
          <a:schemeClr val="accent1">
            <a:lumMod val="5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rtl="0"/>
          <a:r>
            <a:rPr lang="en-IN" sz="1600" b="0" i="0" cap="all" baseline="0">
              <a:solidFill>
                <a:schemeClr val="lt1"/>
              </a:solidFill>
              <a:effectLst/>
              <a:latin typeface="Times New Roman" panose="02020603050405020304" pitchFamily="18" charset="0"/>
              <a:ea typeface="+mn-ea"/>
              <a:cs typeface="Times New Roman" panose="02020603050405020304" pitchFamily="18" charset="0"/>
            </a:rPr>
            <a:t>Top 7 Most Ordered Products </a:t>
          </a:r>
          <a:endParaRPr lang="en-IN" sz="1600" b="0" cap="all" baseline="0">
            <a:effectLst/>
            <a:latin typeface="Times New Roman" panose="02020603050405020304" pitchFamily="18" charset="0"/>
            <a:cs typeface="Times New Roman" panose="02020603050405020304" pitchFamily="18"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0.00314</cdr:x>
      <cdr:y>0.00463</cdr:y>
    </cdr:from>
    <cdr:to>
      <cdr:x>1</cdr:x>
      <cdr:y>0.21296</cdr:y>
    </cdr:to>
    <cdr:sp macro="" textlink="">
      <cdr:nvSpPr>
        <cdr:cNvPr id="2" name="Rectangle: Rounded Corners 1">
          <a:extLst xmlns:a="http://schemas.openxmlformats.org/drawingml/2006/main">
            <a:ext uri="{FF2B5EF4-FFF2-40B4-BE49-F238E27FC236}">
              <a16:creationId xmlns:a16="http://schemas.microsoft.com/office/drawing/2014/main" id="{E7BB1F52-5C67-4279-E0E0-2DDACF47D15E}"/>
            </a:ext>
          </a:extLst>
        </cdr:cNvPr>
        <cdr:cNvSpPr/>
      </cdr:nvSpPr>
      <cdr:spPr>
        <a:xfrm xmlns:a="http://schemas.openxmlformats.org/drawingml/2006/main">
          <a:off x="15241" y="12700"/>
          <a:ext cx="4846319" cy="571500"/>
        </a:xfrm>
        <a:prstGeom xmlns:a="http://schemas.openxmlformats.org/drawingml/2006/main" prst="roundRect">
          <a:avLst>
            <a:gd name="adj" fmla="val 3334"/>
          </a:avLst>
        </a:prstGeom>
        <a:solidFill xmlns:a="http://schemas.openxmlformats.org/drawingml/2006/main">
          <a:schemeClr val="accent1">
            <a:lumMod val="5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rtl="0"/>
          <a:r>
            <a:rPr lang="en-IN" sz="1600" b="0" i="0" cap="all" baseline="0">
              <a:solidFill>
                <a:schemeClr val="lt1"/>
              </a:solidFill>
              <a:effectLst/>
              <a:latin typeface="Times New Roman" panose="02020603050405020304" pitchFamily="18" charset="0"/>
              <a:ea typeface="+mn-ea"/>
              <a:cs typeface="Times New Roman" panose="02020603050405020304" pitchFamily="18" charset="0"/>
            </a:rPr>
            <a:t>Count of Discount Coupons Used</a:t>
          </a:r>
          <a:endParaRPr lang="en-IN" sz="1600" b="0" cap="all" baseline="0">
            <a:effectLst/>
            <a:latin typeface="Times New Roman" panose="02020603050405020304" pitchFamily="18" charset="0"/>
            <a:cs typeface="Times New Roman" panose="02020603050405020304" pitchFamily="18"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cdr:x>
      <cdr:y>0.00242</cdr:y>
    </cdr:from>
    <cdr:to>
      <cdr:x>1</cdr:x>
      <cdr:y>0.16127</cdr:y>
    </cdr:to>
    <cdr:sp macro="" textlink="">
      <cdr:nvSpPr>
        <cdr:cNvPr id="2" name="Rectangle: Rounded Corners 1">
          <a:extLst xmlns:a="http://schemas.openxmlformats.org/drawingml/2006/main">
            <a:ext uri="{FF2B5EF4-FFF2-40B4-BE49-F238E27FC236}">
              <a16:creationId xmlns:a16="http://schemas.microsoft.com/office/drawing/2014/main" id="{11CB9AD2-F1EB-6248-57D3-A7CA740EBB4F}"/>
            </a:ext>
          </a:extLst>
        </cdr:cNvPr>
        <cdr:cNvSpPr/>
      </cdr:nvSpPr>
      <cdr:spPr>
        <a:xfrm xmlns:a="http://schemas.openxmlformats.org/drawingml/2006/main">
          <a:off x="0" y="8710"/>
          <a:ext cx="4862649" cy="571500"/>
        </a:xfrm>
        <a:prstGeom xmlns:a="http://schemas.openxmlformats.org/drawingml/2006/main" prst="roundRect">
          <a:avLst>
            <a:gd name="adj" fmla="val 3334"/>
          </a:avLst>
        </a:prstGeom>
        <a:solidFill xmlns:a="http://schemas.openxmlformats.org/drawingml/2006/main">
          <a:schemeClr val="accent1">
            <a:lumMod val="5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600" kern="1200">
              <a:solidFill>
                <a:schemeClr val="bg1"/>
              </a:solidFill>
              <a:latin typeface="Times New Roman" panose="02020603050405020304" pitchFamily="18" charset="0"/>
              <a:cs typeface="Times New Roman" panose="02020603050405020304" pitchFamily="18" charset="0"/>
            </a:rPr>
            <a:t>MONTH &amp; GENDER</a:t>
          </a:r>
        </a:p>
      </cdr:txBody>
    </cdr:sp>
  </cdr:relSizeAnchor>
</c:userShapes>
</file>

<file path=xl/drawings/drawing12.xml><?xml version="1.0" encoding="utf-8"?>
<c:userShapes xmlns:c="http://schemas.openxmlformats.org/drawingml/2006/chart">
  <cdr:relSizeAnchor xmlns:cdr="http://schemas.openxmlformats.org/drawingml/2006/chartDrawing">
    <cdr:from>
      <cdr:x>0.00022</cdr:x>
      <cdr:y>0</cdr:y>
    </cdr:from>
    <cdr:to>
      <cdr:x>1</cdr:x>
      <cdr:y>0.20833</cdr:y>
    </cdr:to>
    <cdr:sp macro="" textlink="">
      <cdr:nvSpPr>
        <cdr:cNvPr id="3" name="Rectangle: Rounded Corners 2">
          <a:extLst xmlns:a="http://schemas.openxmlformats.org/drawingml/2006/main">
            <a:ext uri="{FF2B5EF4-FFF2-40B4-BE49-F238E27FC236}">
              <a16:creationId xmlns:a16="http://schemas.microsoft.com/office/drawing/2014/main" id="{B16E92CA-664B-D078-399A-F0257FB0FAFE}"/>
            </a:ext>
          </a:extLst>
        </cdr:cNvPr>
        <cdr:cNvSpPr/>
      </cdr:nvSpPr>
      <cdr:spPr>
        <a:xfrm xmlns:a="http://schemas.openxmlformats.org/drawingml/2006/main">
          <a:off x="1090" y="0"/>
          <a:ext cx="4884419" cy="571500"/>
        </a:xfrm>
        <a:prstGeom xmlns:a="http://schemas.openxmlformats.org/drawingml/2006/main" prst="roundRect">
          <a:avLst>
            <a:gd name="adj" fmla="val 3334"/>
          </a:avLst>
        </a:prstGeom>
        <a:solidFill xmlns:a="http://schemas.openxmlformats.org/drawingml/2006/main">
          <a:schemeClr val="accent1">
            <a:lumMod val="5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rtl="0"/>
          <a:r>
            <a:rPr lang="en-IN" sz="1600" cap="all" baseline="0">
              <a:effectLst/>
              <a:latin typeface="Times New Roman" panose="02020603050405020304" pitchFamily="18" charset="0"/>
              <a:cs typeface="Times New Roman" panose="02020603050405020304" pitchFamily="18" charset="0"/>
            </a:rPr>
            <a:t>CITY-WISE TOTAL ORDERS</a:t>
          </a:r>
        </a:p>
      </cdr:txBody>
    </cdr:sp>
  </cdr:relSizeAnchor>
</c:userShapes>
</file>

<file path=xl/drawings/drawing13.xml><?xml version="1.0" encoding="utf-8"?>
<c:userShapes xmlns:c="http://schemas.openxmlformats.org/drawingml/2006/chart">
  <cdr:relSizeAnchor xmlns:cdr="http://schemas.openxmlformats.org/drawingml/2006/chartDrawing">
    <cdr:from>
      <cdr:x>0</cdr:x>
      <cdr:y>0.00278</cdr:y>
    </cdr:from>
    <cdr:to>
      <cdr:x>1</cdr:x>
      <cdr:y>0.21111</cdr:y>
    </cdr:to>
    <cdr:sp macro="" textlink="">
      <cdr:nvSpPr>
        <cdr:cNvPr id="2" name="Rectangle: Rounded Corners 1">
          <a:extLst xmlns:a="http://schemas.openxmlformats.org/drawingml/2006/main">
            <a:ext uri="{FF2B5EF4-FFF2-40B4-BE49-F238E27FC236}">
              <a16:creationId xmlns:a16="http://schemas.microsoft.com/office/drawing/2014/main" id="{F4B6BE31-3BD0-1904-3DF5-F254521820F0}"/>
            </a:ext>
          </a:extLst>
        </cdr:cNvPr>
        <cdr:cNvSpPr/>
      </cdr:nvSpPr>
      <cdr:spPr>
        <a:xfrm xmlns:a="http://schemas.openxmlformats.org/drawingml/2006/main">
          <a:off x="0" y="7620"/>
          <a:ext cx="4908369" cy="571500"/>
        </a:xfrm>
        <a:prstGeom xmlns:a="http://schemas.openxmlformats.org/drawingml/2006/main" prst="roundRect">
          <a:avLst>
            <a:gd name="adj" fmla="val 3334"/>
          </a:avLst>
        </a:prstGeom>
        <a:solidFill xmlns:a="http://schemas.openxmlformats.org/drawingml/2006/main">
          <a:schemeClr val="accent1">
            <a:lumMod val="5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rtl="0"/>
          <a:r>
            <a:rPr lang="en-IN" sz="1600" cap="all" baseline="0">
              <a:effectLst/>
              <a:latin typeface="Times New Roman" panose="02020603050405020304" pitchFamily="18" charset="0"/>
              <a:cs typeface="Times New Roman" panose="02020603050405020304" pitchFamily="18" charset="0"/>
            </a:rPr>
            <a:t>CITY-WISE TOTAL SALES</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refreshedDate="46238.820799537039" backgroundQuery="1" createdVersion="8" refreshedVersion="8" minRefreshableVersion="3" recordCount="0" supportSubquery="1" supportAdvancedDrill="1" xr:uid="{33A87B76-0484-44A5-81B9-07146783FB84}">
  <cacheSource type="external" connectionId="1"/>
  <cacheFields count="2">
    <cacheField name="[Table1].[Product_ID].[Product_ID]" caption="Product_ID" numFmtId="0" hierarchy="13" level="1">
      <sharedItems count="7">
        <s v="PID002"/>
        <s v="PID018"/>
        <s v="PID027"/>
        <s v="PID036"/>
        <s v="PID041"/>
        <s v="PID046"/>
        <s v="PID048"/>
      </sharedItems>
    </cacheField>
    <cacheField name="[Measures].[Count of Product_ID]" caption="Count of Product_ID" numFmtId="0" hierarchy="35" level="32767"/>
  </cacheFields>
  <cacheHierarchies count="36">
    <cacheHierarchy uniqueName="[Table1].[Customer_ID]" caption="Customer_ID" attribute="1" defaultMemberUniqueName="[Table1].[Customer_ID].[All]" allUniqueName="[Table1].[Customer_ID].[All]" dimensionUniqueName="[Table1]" displayFolder="" count="0" memberValueDatatype="130" unbalanced="0"/>
    <cacheHierarchy uniqueName="[Table1].[First_Name]" caption="First_Name" attribute="1" defaultMemberUniqueName="[Table1].[First_Name].[All]" allUniqueName="[Table1].[First_Name].[All]" dimensionUniqueName="[Table1]" displayFolder="" count="0" memberValueDatatype="130" unbalanced="0"/>
    <cacheHierarchy uniqueName="[Table1].[Last_Name]" caption="Last_Name" attribute="1" defaultMemberUniqueName="[Table1].[Last_Name].[All]" allUniqueName="[Table1].[Last_Name].[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Order_Month]" caption="Order_Month" attribute="1" defaultMemberUniqueName="[Table1].[Order_Month].[All]" allUniqueName="[Table1].[Order_Month].[All]" dimensionUniqueName="[Table1]" displayFolder="" count="0" memberValueDatatype="130" unbalanced="0"/>
    <cacheHierarchy uniqueName="[Table1].[Order_Time]" caption="Order_Time" attribute="1" defaultMemberUniqueName="[Table1].[Order_Time].[All]" allUniqueName="[Table1].[Order_Time].[All]" dimensionUniqueName="[Table1]" displayFolder="" count="0" memberValueDatatype="130" unbalanced="0"/>
    <cacheHierarchy uniqueName="[Table1].[Product_ID]" caption="Product_ID" attribute="1" defaultMemberUniqueName="[Table1].[Product_ID].[All]" allUniqueName="[Table1].[Product_ID].[All]" dimensionUniqueName="[Table1]" displayFolder="" count="2" memberValueDatatype="130" unbalanced="0">
      <fieldsUsage count="2">
        <fieldUsage x="-1"/>
        <fieldUsage x="0"/>
      </fieldsUsage>
    </cacheHierarchy>
    <cacheHierarchy uniqueName="[Table1].[Price]" caption="Price" attribute="1" defaultMemberUniqueName="[Table1].[Price].[All]" allUniqueName="[Table1].[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Amount]" caption="Order_Amount" attribute="1" defaultMemberUniqueName="[Table1].[Order_Amount].[All]" allUniqueName="[Table1].[Order_Amount].[All]" dimensionUniqueName="[Table1]" displayFolder="" count="0" memberValueDatatype="5" unbalanced="0"/>
    <cacheHierarchy uniqueName="[Table1].[Coupon_Code]" caption="Coupon_Code" attribute="1" defaultMemberUniqueName="[Table1].[Coupon_Code].[All]" allUniqueName="[Table1].[Coupon_Cod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Amount_after_discount]" caption="Amount_after_discount" attribute="1" defaultMemberUniqueName="[Table1].[Amount_after_discount].[All]" allUniqueName="[Table1].[Amount_after_discount].[All]" dimensionUniqueName="[Table1]" displayFolder="" count="0" memberValueDatatype="5" unbalanced="0"/>
    <cacheHierarchy uniqueName="[Table1].[Estimated_Days_to_Deliver]" caption="Estimated_Days_to_Deliver" attribute="1" defaultMemberUniqueName="[Table1].[Estimated_Days_to_Deliver].[All]" allUniqueName="[Table1].[Estimated_Days_to_Deliver].[All]" dimensionUniqueName="[Table1]" displayFolder="" count="0" memberValueDatatype="20" unbalanced="0"/>
    <cacheHierarchy uniqueName="[Table1].[Final_Amount]" caption="Final_Amount" attribute="1" defaultMemberUniqueName="[Table1].[Final_Amount].[All]" allUniqueName="[Table1].[Final_Amount].[All]" dimensionUniqueName="[Table1]" displayFolder="" count="0" memberValueDatatype="5" unbalanced="0"/>
    <cacheHierarchy uniqueName="[Table1].[Delivery_Charge]" caption="Delivery_Charge" attribute="1" defaultMemberUniqueName="[Table1].[Delivery_Charge].[All]" allUniqueName="[Table1].[Delivery_Charge].[All]" dimensionUniqueName="[Table1]" displayFolder="" count="0" memberValueDatatype="20"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Delivery_Time]" caption="Delivery_Time" attribute="1" defaultMemberUniqueName="[Table1].[Delivery_Time].[All]" allUniqueName="[Table1].[Delivery_Ti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ays_to_Deliver]" caption="Days_to_Deliver" attribute="1" defaultMemberUniqueName="[Table1].[Days_to_Deliver].[All]" allUniqueName="[Table1].[Days_to_Deliver].[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5" unbalanced="0"/>
    <cacheHierarchy uniqueName="[Table1].[Discounted_Amount]" caption="Discounted_Amount" attribute="1" defaultMemberUniqueName="[Table1].[Discounted_Amount].[All]" allUniqueName="[Table1].[Discounted_Amount].[All]" dimensionUniqueName="[Table1]" displayFolder="" count="0" memberValueDatatype="5" unbalanced="0"/>
    <cacheHierarchy uniqueName="[Table1].[Amount_with_Delivery_Charge]" caption="Amount_with_Delivery_Charge" attribute="1" defaultMemberUniqueName="[Table1].[Amount_with_Delivery_Charge].[All]" allUniqueName="[Table1].[Amount_with_Delivery_Charg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5"/>
        </ext>
      </extLst>
    </cacheHierarchy>
    <cacheHierarchy uniqueName="[Measures].[Count of Product_ID]" caption="Count of Product_ID"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refreshedDate="46238.820800462963" backgroundQuery="1" createdVersion="8" refreshedVersion="8" minRefreshableVersion="3" recordCount="0" supportSubquery="1" supportAdvancedDrill="1" xr:uid="{36264C81-DF85-4E48-821C-4574B0CF5B1F}">
  <cacheSource type="external" connectionId="1"/>
  <cacheFields count="2">
    <cacheField name="[Measures].[Sum of SALES]" caption="Sum of SALES" numFmtId="0" hierarchy="34" level="32767"/>
    <cacheField name="[Table1].[Product_ID].[Product_ID]" caption="Product_ID" numFmtId="0" hierarchy="13" level="1">
      <sharedItems count="50">
        <s v="PID001"/>
        <s v="PID002"/>
        <s v="PID003"/>
        <s v="PID004"/>
        <s v="PID005"/>
        <s v="PID006"/>
        <s v="PID007"/>
        <s v="PID008"/>
        <s v="PID009"/>
        <s v="PID010"/>
        <s v="PID011"/>
        <s v="PID012"/>
        <s v="PID013"/>
        <s v="PID014"/>
        <s v="PID015"/>
        <s v="PID016"/>
        <s v="PID017"/>
        <s v="PID018"/>
        <s v="PID019"/>
        <s v="PID020"/>
        <s v="PID021"/>
        <s v="PID022"/>
        <s v="PID023"/>
        <s v="PID024"/>
        <s v="PID025"/>
        <s v="PID026"/>
        <s v="PID027"/>
        <s v="PID028"/>
        <s v="PID029"/>
        <s v="PID030"/>
        <s v="PID031"/>
        <s v="PID032"/>
        <s v="PID033"/>
        <s v="PID034"/>
        <s v="PID035"/>
        <s v="PID036"/>
        <s v="PID037"/>
        <s v="PID038"/>
        <s v="PID039"/>
        <s v="PID040"/>
        <s v="PID041"/>
        <s v="PID042"/>
        <s v="PID043"/>
        <s v="PID044"/>
        <s v="PID045"/>
        <s v="PID046"/>
        <s v="PID047"/>
        <s v="PID048"/>
        <s v="PID049"/>
        <s v="PID050"/>
      </sharedItems>
    </cacheField>
  </cacheFields>
  <cacheHierarchies count="36">
    <cacheHierarchy uniqueName="[Table1].[Customer_ID]" caption="Customer_ID" attribute="1" defaultMemberUniqueName="[Table1].[Customer_ID].[All]" allUniqueName="[Table1].[Customer_ID].[All]" dimensionUniqueName="[Table1]" displayFolder="" count="0" memberValueDatatype="130" unbalanced="0"/>
    <cacheHierarchy uniqueName="[Table1].[First_Name]" caption="First_Name" attribute="1" defaultMemberUniqueName="[Table1].[First_Name].[All]" allUniqueName="[Table1].[First_Name].[All]" dimensionUniqueName="[Table1]" displayFolder="" count="0" memberValueDatatype="130" unbalanced="0"/>
    <cacheHierarchy uniqueName="[Table1].[Last_Name]" caption="Last_Name" attribute="1" defaultMemberUniqueName="[Table1].[Last_Name].[All]" allUniqueName="[Table1].[Last_Name].[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Order_Month]" caption="Order_Month" attribute="1" defaultMemberUniqueName="[Table1].[Order_Month].[All]" allUniqueName="[Table1].[Order_Month].[All]" dimensionUniqueName="[Table1]" displayFolder="" count="0" memberValueDatatype="130" unbalanced="0"/>
    <cacheHierarchy uniqueName="[Table1].[Order_Time]" caption="Order_Time" attribute="1" defaultMemberUniqueName="[Table1].[Order_Time].[All]" allUniqueName="[Table1].[Order_Time].[All]" dimensionUniqueName="[Table1]" displayFolder="" count="0" memberValueDatatype="130" unbalanced="0"/>
    <cacheHierarchy uniqueName="[Table1].[Product_ID]" caption="Product_ID" attribute="1" defaultMemberUniqueName="[Table1].[Product_ID].[All]" allUniqueName="[Table1].[Product_ID].[All]" dimensionUniqueName="[Table1]" displayFolder="" count="2" memberValueDatatype="130" unbalanced="0">
      <fieldsUsage count="2">
        <fieldUsage x="-1"/>
        <fieldUsage x="1"/>
      </fieldsUsage>
    </cacheHierarchy>
    <cacheHierarchy uniqueName="[Table1].[Price]" caption="Price" attribute="1" defaultMemberUniqueName="[Table1].[Price].[All]" allUniqueName="[Table1].[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Amount]" caption="Order_Amount" attribute="1" defaultMemberUniqueName="[Table1].[Order_Amount].[All]" allUniqueName="[Table1].[Order_Amount].[All]" dimensionUniqueName="[Table1]" displayFolder="" count="0" memberValueDatatype="5" unbalanced="0"/>
    <cacheHierarchy uniqueName="[Table1].[Coupon_Code]" caption="Coupon_Code" attribute="1" defaultMemberUniqueName="[Table1].[Coupon_Code].[All]" allUniqueName="[Table1].[Coupon_Cod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Amount_after_discount]" caption="Amount_after_discount" attribute="1" defaultMemberUniqueName="[Table1].[Amount_after_discount].[All]" allUniqueName="[Table1].[Amount_after_discount].[All]" dimensionUniqueName="[Table1]" displayFolder="" count="0" memberValueDatatype="5" unbalanced="0"/>
    <cacheHierarchy uniqueName="[Table1].[Estimated_Days_to_Deliver]" caption="Estimated_Days_to_Deliver" attribute="1" defaultMemberUniqueName="[Table1].[Estimated_Days_to_Deliver].[All]" allUniqueName="[Table1].[Estimated_Days_to_Deliver].[All]" dimensionUniqueName="[Table1]" displayFolder="" count="0" memberValueDatatype="20" unbalanced="0"/>
    <cacheHierarchy uniqueName="[Table1].[Final_Amount]" caption="Final_Amount" attribute="1" defaultMemberUniqueName="[Table1].[Final_Amount].[All]" allUniqueName="[Table1].[Final_Amount].[All]" dimensionUniqueName="[Table1]" displayFolder="" count="0" memberValueDatatype="5" unbalanced="0"/>
    <cacheHierarchy uniqueName="[Table1].[Delivery_Charge]" caption="Delivery_Charge" attribute="1" defaultMemberUniqueName="[Table1].[Delivery_Charge].[All]" allUniqueName="[Table1].[Delivery_Charge].[All]" dimensionUniqueName="[Table1]" displayFolder="" count="0" memberValueDatatype="20"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Delivery_Time]" caption="Delivery_Time" attribute="1" defaultMemberUniqueName="[Table1].[Delivery_Time].[All]" allUniqueName="[Table1].[Delivery_Ti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ays_to_Deliver]" caption="Days_to_Deliver" attribute="1" defaultMemberUniqueName="[Table1].[Days_to_Deliver].[All]" allUniqueName="[Table1].[Days_to_Deliver].[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5" unbalanced="0"/>
    <cacheHierarchy uniqueName="[Table1].[Discounted_Amount]" caption="Discounted_Amount" attribute="1" defaultMemberUniqueName="[Table1].[Discounted_Amount].[All]" allUniqueName="[Table1].[Discounted_Amount].[All]" dimensionUniqueName="[Table1]" displayFolder="" count="0" memberValueDatatype="5" unbalanced="0"/>
    <cacheHierarchy uniqueName="[Table1].[Amount_with_Delivery_Charge]" caption="Amount_with_Delivery_Charge" attribute="1" defaultMemberUniqueName="[Table1].[Amount_with_Delivery_Charge].[All]" allUniqueName="[Table1].[Amount_with_Delivery_Charg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ULYA" refreshedDate="46238.887306944445" createdVersion="8" refreshedVersion="8" minRefreshableVersion="3" recordCount="500" xr:uid="{C219B8D8-12A9-4AA8-8F8D-5CD6810AEFA6}">
  <cacheSource type="worksheet">
    <worksheetSource name="Table1"/>
  </cacheSource>
  <cacheFields count="32">
    <cacheField name="Customer_ID" numFmtId="0">
      <sharedItems/>
    </cacheField>
    <cacheField name="First_Name" numFmtId="0">
      <sharedItems/>
    </cacheField>
    <cacheField name="Last_Name" numFmtId="0">
      <sharedItems/>
    </cacheField>
    <cacheField name="Full_Name" numFmtId="0">
      <sharedItems count="100">
        <s v="Bruce Allen"/>
        <s v="Amy Griffin"/>
        <s v="Jodi Whitney"/>
        <s v="Lauren Crane"/>
        <s v="Alexandra Smith"/>
        <s v="Lauren Long"/>
        <s v="Mary Knight"/>
        <s v="Mark Summers"/>
        <s v="Erin Miller"/>
        <s v="Aaron Thompson"/>
        <s v="Valerie Carr"/>
        <s v="Brian Kennedy"/>
        <s v="Barbara Fuller"/>
        <s v="Lindsey Byrd"/>
        <s v="Jason Lopez"/>
        <s v="Katherine Weber"/>
        <s v="Christian Clayton"/>
        <s v="Jessica Ruiz"/>
        <s v="Susan Thompson"/>
        <s v="Sarah Benson"/>
        <s v="Karl Gallagher"/>
        <s v="Joseph Stewart"/>
        <s v="John Herrera"/>
        <s v="Brendan Kelly"/>
        <s v="Jason Nguyen"/>
        <s v="Lori Cook"/>
        <s v="John Ramirez"/>
        <s v="Veronica Lopez"/>
        <s v="Katie Hicks"/>
        <s v="Diana French"/>
        <s v="Natasha Michael"/>
        <s v="Edward Black"/>
        <s v="Lauren Lane"/>
        <s v="Brittany Stewart"/>
        <s v="Amy Reid"/>
        <s v="Gina Moreno"/>
        <s v="Donna Oneill"/>
        <s v="Lisa Miller"/>
        <s v="Hannah Gutierrez"/>
        <s v="Mitchell Parker"/>
        <s v="Anne Oconnell"/>
        <s v="Joseph Gaines"/>
        <s v="Ashley Rose"/>
        <s v="Heather Schneider"/>
        <s v="Amy Ellis"/>
        <s v="Kim Blevins"/>
        <s v="Debra Hayes"/>
        <s v="Troy Gomez"/>
        <s v="Gary Huff"/>
        <s v="Christy Chang"/>
        <s v="Joshua Campbell"/>
        <s v="Kristina Haynes"/>
        <s v="Angela Evans"/>
        <s v="Leslie Montgomery"/>
        <s v="Deborah Bates"/>
        <s v="Jenny Estrada"/>
        <s v="Christine West"/>
        <s v="Brandon Cruz"/>
        <s v="Christine Aguilar"/>
        <s v="Jared Horn"/>
        <s v="Amanda Howard"/>
        <s v="Regina Hawkins"/>
        <s v="Beth Mason"/>
        <s v="Thomas Andersen"/>
        <s v="Sarah Butler"/>
        <s v="Angela Horne"/>
        <s v="Megan Hunt"/>
        <s v="David Delacruz"/>
        <s v="Bobby Forbes"/>
        <s v="Rebecca Figueroa"/>
        <s v="Teresa Harvey"/>
        <s v="William Mann"/>
        <s v="Kelli Smith"/>
        <s v="Sharon Thompson"/>
        <s v="Mike Carter"/>
        <s v="Rachael Robinson"/>
        <s v="Anthony Thomas"/>
        <s v="Kara Brennan"/>
        <s v="Timothy Hicks"/>
        <s v="Courtney Parker"/>
        <s v="Janice Gordon"/>
        <s v="Marcus Rogers"/>
        <s v="Mark Henderson"/>
        <s v="Robert Castillo"/>
        <s v="William Richmond"/>
        <s v="Mallory Mitchell"/>
        <s v="Taylor Davis"/>
        <s v="Gregory Lee"/>
        <s v="Ashley Romero"/>
        <s v="Debra Rodriguez"/>
        <s v="Gary Jacobs"/>
        <s v="Angela Casey"/>
        <s v="James Brown"/>
        <s v="Julie Meyer"/>
        <s v="Melissa Levy"/>
        <s v="Traci Jones"/>
        <s v="Thomas Owens"/>
        <s v="Marcus Valenzuela"/>
        <s v="Rachel Lopez"/>
        <s v="Scott Jones"/>
      </sharedItems>
    </cacheField>
    <cacheField name="Age" numFmtId="0">
      <sharedItems containsSemiMixedTypes="0" containsString="0" containsNumber="1" containsInteger="1" minValue="18" maxValue="70"/>
    </cacheField>
    <cacheField name="Gender" numFmtId="0">
      <sharedItems count="3">
        <s v="Female"/>
        <s v="Male"/>
        <s v="Other"/>
      </sharedItems>
    </cacheField>
    <cacheField name="City" numFmtId="0">
      <sharedItems count="8">
        <s v="Phoenix"/>
        <s v="Houston"/>
        <s v="San Francisco"/>
        <s v="Dallas"/>
        <s v="New York"/>
        <s v="Chicago"/>
        <s v="Los Angeles"/>
        <s v="Miami"/>
      </sharedItems>
    </cacheField>
    <cacheField name="Email" numFmtId="0">
      <sharedItems/>
    </cacheField>
    <cacheField name="Address" numFmtId="0">
      <sharedItems/>
    </cacheField>
    <cacheField name="Order_ID" numFmtId="0">
      <sharedItems/>
    </cacheField>
    <cacheField name="Order_Date" numFmtId="164">
      <sharedItems containsSemiMixedTypes="0" containsNonDate="0" containsDate="1" containsString="0" minDate="2023-02-09T00:00:00" maxDate="2025-02-08T00:00:00"/>
    </cacheField>
    <cacheField name="Order_Month" numFmtId="164">
      <sharedItems count="12">
        <s v="April"/>
        <s v="May"/>
        <s v="November"/>
        <s v="August"/>
        <s v="January"/>
        <s v="March"/>
        <s v="July"/>
        <s v="December"/>
        <s v="June"/>
        <s v="September"/>
        <s v="February"/>
        <s v="October"/>
      </sharedItems>
    </cacheField>
    <cacheField name="Order_Time" numFmtId="0">
      <sharedItems/>
    </cacheField>
    <cacheField name="Product_ID" numFmtId="0">
      <sharedItems count="50">
        <s v="PID004"/>
        <s v="PID027"/>
        <s v="PID006"/>
        <s v="PID005"/>
        <s v="PID049"/>
        <s v="PID020"/>
        <s v="PID017"/>
        <s v="PID032"/>
        <s v="PID038"/>
        <s v="PID031"/>
        <s v="PID025"/>
        <s v="PID029"/>
        <s v="PID041"/>
        <s v="PID008"/>
        <s v="PID046"/>
        <s v="PID035"/>
        <s v="PID022"/>
        <s v="PID001"/>
        <s v="PID011"/>
        <s v="PID019"/>
        <s v="PID014"/>
        <s v="PID043"/>
        <s v="PID013"/>
        <s v="PID030"/>
        <s v="PID034"/>
        <s v="PID039"/>
        <s v="PID007"/>
        <s v="PID023"/>
        <s v="PID047"/>
        <s v="PID042"/>
        <s v="PID050"/>
        <s v="PID036"/>
        <s v="PID048"/>
        <s v="PID016"/>
        <s v="PID015"/>
        <s v="PID012"/>
        <s v="PID021"/>
        <s v="PID026"/>
        <s v="PID028"/>
        <s v="PID040"/>
        <s v="PID002"/>
        <s v="PID024"/>
        <s v="PID009"/>
        <s v="PID037"/>
        <s v="PID018"/>
        <s v="PID033"/>
        <s v="PID010"/>
        <s v="PID045"/>
        <s v="PID003"/>
        <s v="PID044"/>
      </sharedItems>
    </cacheField>
    <cacheField name="Price" numFmtId="0">
      <sharedItems containsSemiMixedTypes="0" containsString="0" containsNumber="1" minValue="20" maxValue="496.59"/>
    </cacheField>
    <cacheField name="Quantity" numFmtId="0">
      <sharedItems containsSemiMixedTypes="0" containsString="0" containsNumber="1" containsInteger="1" minValue="1" maxValue="5"/>
    </cacheField>
    <cacheField name="Order_Amount" numFmtId="0">
      <sharedItems containsSemiMixedTypes="0" containsString="0" containsNumber="1" minValue="20" maxValue="2482.9499999999998"/>
    </cacheField>
    <cacheField name="Coupon_Code" numFmtId="0">
      <sharedItems count="5">
        <s v="FLAT20"/>
        <s v="FLAT8"/>
        <s v="FLAT10"/>
        <s v="FLAT15"/>
        <s v="DEL0"/>
      </sharedItems>
    </cacheField>
    <cacheField name="Discount" numFmtId="0">
      <sharedItems containsSemiMixedTypes="0" containsString="0" containsNumber="1" minValue="0" maxValue="496.59"/>
    </cacheField>
    <cacheField name="Amount_after_discount" numFmtId="0">
      <sharedItems containsSemiMixedTypes="0" containsString="0" containsNumber="1" minValue="18" maxValue="2284.3139999999999"/>
    </cacheField>
    <cacheField name="Estimated_Days_to_Deliver" numFmtId="0">
      <sharedItems containsSemiMixedTypes="0" containsString="0" containsNumber="1" containsInteger="1" minValue="1" maxValue="7"/>
    </cacheField>
    <cacheField name="Final_Amount" numFmtId="0">
      <sharedItems containsSemiMixedTypes="0" containsString="0" containsNumber="1" minValue="71.7" maxValue="2345.3139999999999"/>
    </cacheField>
    <cacheField name="Delivery_Charge" numFmtId="0">
      <sharedItems containsSemiMixedTypes="0" containsString="0" containsNumber="1" containsInteger="1" minValue="35" maxValue="70"/>
    </cacheField>
    <cacheField name="Delivery_Date" numFmtId="164">
      <sharedItems containsSemiMixedTypes="0" containsNonDate="0" containsDate="1" containsString="0" minDate="2023-02-13T00:00:00" maxDate="2025-02-14T00:00:00"/>
    </cacheField>
    <cacheField name="Delivery_Time" numFmtId="0">
      <sharedItems/>
    </cacheField>
    <cacheField name="SALES" numFmtId="0">
      <sharedItems containsSemiMixedTypes="0" containsString="0" containsNumber="1" minValue="71.7" maxValue="2543.9499999999998"/>
    </cacheField>
    <cacheField name="Days_to_Deliver" numFmtId="0">
      <sharedItems containsSemiMixedTypes="0" containsString="0" containsNumber="1" containsInteger="1" minValue="1" maxValue="7"/>
    </cacheField>
    <cacheField name="Delivery_Status" numFmtId="0">
      <sharedItems/>
    </cacheField>
    <cacheField name="Amount" numFmtId="0">
      <sharedItems containsSemiMixedTypes="0" containsString="0" containsNumber="1" minValue="20" maxValue="2482.9499999999998"/>
    </cacheField>
    <cacheField name="Discount_Percent" numFmtId="9">
      <sharedItems containsSemiMixedTypes="0" containsString="0" containsNumber="1" minValue="0" maxValue="0.2"/>
    </cacheField>
    <cacheField name="Discounted_Amount" numFmtId="0">
      <sharedItems containsSemiMixedTypes="0" containsString="0" containsNumber="1" minValue="0" maxValue="496.59"/>
    </cacheField>
    <cacheField name="Amount_with_Delivery_Charge" numFmtId="0">
      <sharedItems containsSemiMixedTypes="0" containsString="0" containsNumber="1" minValue="0" maxValue="537.5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refreshedDate="46238.820794907406" backgroundQuery="1" createdVersion="3" refreshedVersion="8" minRefreshableVersion="3" recordCount="0" supportSubquery="1" supportAdvancedDrill="1" xr:uid="{0576F5AF-158F-4B51-82EB-05299C3E29E2}">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Table1].[Customer_ID]" caption="Customer_ID" attribute="1" defaultMemberUniqueName="[Table1].[Customer_ID].[All]" allUniqueName="[Table1].[Customer_ID].[All]" dimensionUniqueName="[Table1]" displayFolder="" count="0" memberValueDatatype="130" unbalanced="0"/>
    <cacheHierarchy uniqueName="[Table1].[First_Name]" caption="First_Name" attribute="1" defaultMemberUniqueName="[Table1].[First_Name].[All]" allUniqueName="[Table1].[First_Name].[All]" dimensionUniqueName="[Table1]" displayFolder="" count="0" memberValueDatatype="130" unbalanced="0"/>
    <cacheHierarchy uniqueName="[Table1].[Last_Name]" caption="Last_Name" attribute="1" defaultMemberUniqueName="[Table1].[Last_Name].[All]" allUniqueName="[Table1].[Last_Name].[All]" dimensionUniqueName="[Table1]" displayFolder="" count="0" memberValueDatatype="130" unbalanced="0"/>
    <cacheHierarchy uniqueName="[Table1].[Full_Name]" caption="Full_Name" attribute="1" defaultMemberUniqueName="[Table1].[Full_Name].[All]" allUniqueName="[Table1].[Full_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Email]" caption="Email" attribute="1" defaultMemberUniqueName="[Table1].[Email].[All]" allUniqueName="[Table1].[Email].[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Order_Month]" caption="Order_Month" attribute="1" defaultMemberUniqueName="[Table1].[Order_Month].[All]" allUniqueName="[Table1].[Order_Month].[All]" dimensionUniqueName="[Table1]" displayFolder="" count="2" memberValueDatatype="130" unbalanced="0"/>
    <cacheHierarchy uniqueName="[Table1].[Order_Time]" caption="Order_Time" attribute="1" defaultMemberUniqueName="[Table1].[Order_Time].[All]" allUniqueName="[Table1].[Order_Time].[All]" dimensionUniqueName="[Table1]" displayFolder="" count="0" memberValueDatatype="130" unbalanced="0"/>
    <cacheHierarchy uniqueName="[Table1].[Product_ID]" caption="Product_ID" attribute="1" defaultMemberUniqueName="[Table1].[Product_ID].[All]" allUniqueName="[Table1].[Product_ID].[All]" dimensionUniqueName="[Table1]" displayFolder="" count="2" memberValueDatatype="130" unbalanced="0"/>
    <cacheHierarchy uniqueName="[Table1].[Price]" caption="Price" attribute="1" defaultMemberUniqueName="[Table1].[Price].[All]" allUniqueName="[Table1].[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Amount]" caption="Order_Amount" attribute="1" defaultMemberUniqueName="[Table1].[Order_Amount].[All]" allUniqueName="[Table1].[Order_Amount].[All]" dimensionUniqueName="[Table1]" displayFolder="" count="0" memberValueDatatype="5" unbalanced="0"/>
    <cacheHierarchy uniqueName="[Table1].[Coupon_Code]" caption="Coupon_Code" attribute="1" defaultMemberUniqueName="[Table1].[Coupon_Code].[All]" allUniqueName="[Table1].[Coupon_Code].[All]" dimensionUniqueName="[Table1]" displayFolder="" count="2"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Amount_after_discount]" caption="Amount_after_discount" attribute="1" defaultMemberUniqueName="[Table1].[Amount_after_discount].[All]" allUniqueName="[Table1].[Amount_after_discount].[All]" dimensionUniqueName="[Table1]" displayFolder="" count="0" memberValueDatatype="5" unbalanced="0"/>
    <cacheHierarchy uniqueName="[Table1].[Estimated_Days_to_Deliver]" caption="Estimated_Days_to_Deliver" attribute="1" defaultMemberUniqueName="[Table1].[Estimated_Days_to_Deliver].[All]" allUniqueName="[Table1].[Estimated_Days_to_Deliver].[All]" dimensionUniqueName="[Table1]" displayFolder="" count="0" memberValueDatatype="20" unbalanced="0"/>
    <cacheHierarchy uniqueName="[Table1].[Final_Amount]" caption="Final_Amount" attribute="1" defaultMemberUniqueName="[Table1].[Final_Amount].[All]" allUniqueName="[Table1].[Final_Amount].[All]" dimensionUniqueName="[Table1]" displayFolder="" count="0" memberValueDatatype="5" unbalanced="0"/>
    <cacheHierarchy uniqueName="[Table1].[Delivery_Charge]" caption="Delivery_Charge" attribute="1" defaultMemberUniqueName="[Table1].[Delivery_Charge].[All]" allUniqueName="[Table1].[Delivery_Charge].[All]" dimensionUniqueName="[Table1]" displayFolder="" count="0" memberValueDatatype="20"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Delivery_Time]" caption="Delivery_Time" attribute="1" defaultMemberUniqueName="[Table1].[Delivery_Time].[All]" allUniqueName="[Table1].[Delivery_Ti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ays_to_Deliver]" caption="Days_to_Deliver" attribute="1" defaultMemberUniqueName="[Table1].[Days_to_Deliver].[All]" allUniqueName="[Table1].[Days_to_Deliver].[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Discount_Percent]" caption="Discount_Percent" attribute="1" defaultMemberUniqueName="[Table1].[Discount_Percent].[All]" allUniqueName="[Table1].[Discount_Percent].[All]" dimensionUniqueName="[Table1]" displayFolder="" count="0" memberValueDatatype="5" unbalanced="0"/>
    <cacheHierarchy uniqueName="[Table1].[Discounted_Amount]" caption="Discounted_Amount" attribute="1" defaultMemberUniqueName="[Table1].[Discounted_Amount].[All]" allUniqueName="[Table1].[Discounted_Amount].[All]" dimensionUniqueName="[Table1]" displayFolder="" count="0" memberValueDatatype="5" unbalanced="0"/>
    <cacheHierarchy uniqueName="[Table1].[Amount_with_Delivery_Charge]" caption="Amount_with_Delivery_Charge" attribute="1" defaultMemberUniqueName="[Table1].[Amount_with_Delivery_Charge].[All]" allUniqueName="[Table1].[Amount_with_Delivery_Charg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5"/>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48993989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ID170"/>
    <s v="Bruce"/>
    <s v="Allen"/>
    <x v="0"/>
    <n v="32"/>
    <x v="0"/>
    <x v="0"/>
    <s v="bruce.allen@rediffmail.com"/>
    <s v="2417 Brown Ford, West Timothyside, RI 45629"/>
    <s v="OID4685"/>
    <d v="2023-04-05T00:00:00"/>
    <x v="0"/>
    <s v="01:46:15"/>
    <x v="0"/>
    <n v="496.59"/>
    <n v="5"/>
    <n v="2482.9499999999998"/>
    <x v="0"/>
    <n v="496.59"/>
    <n v="1986.36"/>
    <n v="1"/>
    <n v="2026.36"/>
    <n v="40"/>
    <d v="2023-04-09T00:00:00"/>
    <s v="22:28:20"/>
    <n v="2522.9499999999998"/>
    <n v="4"/>
    <s v="Late"/>
    <n v="2482.9499999999998"/>
    <n v="0.2"/>
    <n v="496.59"/>
    <n v="536.58999999999992"/>
  </r>
  <r>
    <s v="CID119"/>
    <s v="Amy"/>
    <s v="Griffin"/>
    <x v="1"/>
    <n v="29"/>
    <x v="1"/>
    <x v="1"/>
    <s v="amy.griffin@rediffmail.com"/>
    <s v="07350 Aaron Meadow Suite 138, Kiaraberg, AL 79545"/>
    <s v="OID9684"/>
    <d v="2024-05-11T00:00:00"/>
    <x v="1"/>
    <s v="12:43:07"/>
    <x v="0"/>
    <n v="496.59"/>
    <n v="5"/>
    <n v="2482.9499999999998"/>
    <x v="1"/>
    <n v="198.636"/>
    <n v="2284.3139999999999"/>
    <n v="3"/>
    <n v="2345.3139999999999"/>
    <n v="61"/>
    <d v="2024-05-13T00:00:00"/>
    <s v="05:09:35"/>
    <n v="2543.9499999999998"/>
    <n v="2"/>
    <s v="BeforeTime"/>
    <n v="2482.9499999999998"/>
    <n v="0.08"/>
    <n v="198.636"/>
    <n v="259.63599999999997"/>
  </r>
  <r>
    <s v="CID174"/>
    <s v="Jodi"/>
    <s v="Whitney"/>
    <x v="2"/>
    <n v="33"/>
    <x v="2"/>
    <x v="2"/>
    <s v="jodi.whitney@yahoo.com"/>
    <s v="72876 Lara Key Suite 383, Gutierrezton, OR 71683"/>
    <s v="OID6716"/>
    <d v="2024-11-13T00:00:00"/>
    <x v="2"/>
    <s v="22:34:39"/>
    <x v="1"/>
    <n v="481.48"/>
    <n v="5"/>
    <n v="2407.4"/>
    <x v="1"/>
    <n v="192.59200000000001"/>
    <n v="2214.808"/>
    <n v="6"/>
    <n v="2258.808"/>
    <n v="44"/>
    <d v="2024-11-16T00:00:00"/>
    <s v="02:59:45"/>
    <n v="2451.4"/>
    <n v="3"/>
    <s v="BeforeTime"/>
    <n v="2407.4"/>
    <n v="0.08"/>
    <n v="192.59200000000001"/>
    <n v="236.59200000000001"/>
  </r>
  <r>
    <s v="CID114"/>
    <s v="Lauren"/>
    <s v="Crane"/>
    <x v="3"/>
    <n v="62"/>
    <x v="0"/>
    <x v="1"/>
    <s v="lauren.crane@yahoo.com"/>
    <s v="30313 Reyes Parkways Suite 392, Port Bradley, SC 24078"/>
    <s v="OID7828"/>
    <d v="2024-08-13T00:00:00"/>
    <x v="3"/>
    <s v="00:57:10"/>
    <x v="2"/>
    <n v="477.52"/>
    <n v="5"/>
    <n v="2387.6"/>
    <x v="0"/>
    <n v="477.52"/>
    <n v="1910.08"/>
    <n v="2"/>
    <n v="1970.08"/>
    <n v="60"/>
    <d v="2024-08-16T00:00:00"/>
    <s v="03:55:32"/>
    <n v="2447.6"/>
    <n v="3"/>
    <s v="Late"/>
    <n v="2387.6"/>
    <n v="0.2"/>
    <n v="477.52"/>
    <n v="537.52"/>
  </r>
  <r>
    <s v="CID181"/>
    <s v="Alexandra"/>
    <s v="Smith"/>
    <x v="4"/>
    <n v="70"/>
    <x v="1"/>
    <x v="0"/>
    <s v="alexandra.smith@rediffmail.com"/>
    <s v="48611 Clark Village, West Anne, GA 92865"/>
    <s v="OID6319"/>
    <d v="2024-04-10T00:00:00"/>
    <x v="0"/>
    <s v="18:25:37"/>
    <x v="2"/>
    <n v="477.52"/>
    <n v="5"/>
    <n v="2387.6"/>
    <x v="2"/>
    <n v="238.76"/>
    <n v="2148.84"/>
    <n v="7"/>
    <n v="2201.84"/>
    <n v="53"/>
    <d v="2024-04-12T00:00:00"/>
    <s v="09:32:58"/>
    <n v="2440.6"/>
    <n v="2"/>
    <s v="BeforeTime"/>
    <n v="2387.6"/>
    <n v="0.1"/>
    <n v="238.76"/>
    <n v="291.76"/>
  </r>
  <r>
    <s v="CID191"/>
    <s v="Lauren"/>
    <s v="Long"/>
    <x v="5"/>
    <n v="44"/>
    <x v="1"/>
    <x v="3"/>
    <s v="lauren.long@gmail.com"/>
    <s v="258 Michael Brooks Suite 363, Arnoldview, PA 49438"/>
    <s v="OID3348"/>
    <d v="2024-01-16T00:00:00"/>
    <x v="4"/>
    <s v="17:05:21"/>
    <x v="3"/>
    <n v="445.81"/>
    <n v="5"/>
    <n v="2229.0500000000002"/>
    <x v="3"/>
    <n v="334.35750000000002"/>
    <n v="1894.6925000000001"/>
    <n v="1"/>
    <n v="1950.6925000000001"/>
    <n v="56"/>
    <d v="2024-01-22T00:00:00"/>
    <s v="06:56:06"/>
    <n v="2285.0500000000002"/>
    <n v="6"/>
    <s v="Late"/>
    <n v="2229.0500000000002"/>
    <n v="0.15"/>
    <n v="334.35750000000002"/>
    <n v="390.35750000000002"/>
  </r>
  <r>
    <s v="CID165"/>
    <s v="Mary"/>
    <s v="Knight"/>
    <x v="6"/>
    <n v="28"/>
    <x v="2"/>
    <x v="4"/>
    <s v="mary.knight@yahoo.com"/>
    <s v="907 Kimberly Hill, Murrayfort, NH 88384"/>
    <s v="OID7689"/>
    <d v="2024-11-14T00:00:00"/>
    <x v="2"/>
    <s v="10:04:46"/>
    <x v="3"/>
    <n v="445.81"/>
    <n v="5"/>
    <n v="2229.0500000000002"/>
    <x v="1"/>
    <n v="178.32400000000001"/>
    <n v="2050.7260000000001"/>
    <n v="6"/>
    <n v="2120.7260000000001"/>
    <n v="70"/>
    <d v="2024-11-17T00:00:00"/>
    <s v="22:23:04"/>
    <n v="2299.0500000000002"/>
    <n v="3"/>
    <s v="BeforeTime"/>
    <n v="2229.0500000000002"/>
    <n v="0.08"/>
    <n v="178.32400000000001"/>
    <n v="248.32400000000001"/>
  </r>
  <r>
    <s v="CID162"/>
    <s v="Mark"/>
    <s v="Summers"/>
    <x v="7"/>
    <n v="55"/>
    <x v="0"/>
    <x v="5"/>
    <s v="mark.summers@outlook.com"/>
    <s v="08413 Lynch Parkway, Calderonstad, NV 32697"/>
    <s v="OID5913"/>
    <d v="2023-04-23T00:00:00"/>
    <x v="0"/>
    <s v="09:46:43"/>
    <x v="4"/>
    <n v="441.03"/>
    <n v="5"/>
    <n v="2205.1499999999996"/>
    <x v="3"/>
    <n v="330.77249999999992"/>
    <n v="1874.3774999999996"/>
    <n v="3"/>
    <n v="1911.3774999999996"/>
    <n v="37"/>
    <d v="2023-04-28T00:00:00"/>
    <s v="06:31:08"/>
    <n v="2242.1499999999996"/>
    <n v="5"/>
    <s v="Late"/>
    <n v="2205.1499999999996"/>
    <n v="0.15"/>
    <n v="330.77249999999992"/>
    <n v="367.77249999999992"/>
  </r>
  <r>
    <s v="CID148"/>
    <s v="Erin"/>
    <s v="Miller"/>
    <x v="8"/>
    <n v="46"/>
    <x v="1"/>
    <x v="2"/>
    <s v="erin.miller@gmail.com"/>
    <s v="65972 Peterson Route, Port Andrewfurt, SD 32892"/>
    <s v="OID4539"/>
    <d v="2023-03-25T00:00:00"/>
    <x v="5"/>
    <s v="15:06:18"/>
    <x v="4"/>
    <n v="441.03"/>
    <n v="5"/>
    <n v="2205.1499999999996"/>
    <x v="0"/>
    <n v="441.03"/>
    <n v="1764.1199999999997"/>
    <n v="7"/>
    <n v="1800.1199999999997"/>
    <n v="36"/>
    <d v="2023-03-31T00:00:00"/>
    <s v="03:50:06"/>
    <n v="2241.1499999999996"/>
    <n v="6"/>
    <s v="BeforeTime"/>
    <n v="2205.1499999999996"/>
    <n v="0.2"/>
    <n v="441.03"/>
    <n v="477.03"/>
  </r>
  <r>
    <s v="CID184"/>
    <s v="Aaron"/>
    <s v="Thompson"/>
    <x v="9"/>
    <n v="47"/>
    <x v="0"/>
    <x v="6"/>
    <s v="aaron.thompson@gmail.com"/>
    <s v="PSC 0550, Box 2737, APO AE 75772"/>
    <s v="OID5970"/>
    <d v="2025-01-24T00:00:00"/>
    <x v="4"/>
    <s v="07:39:59"/>
    <x v="4"/>
    <n v="441.03"/>
    <n v="5"/>
    <n v="2205.1499999999996"/>
    <x v="1"/>
    <n v="176.41199999999998"/>
    <n v="2028.7379999999996"/>
    <n v="5"/>
    <n v="2090.7379999999994"/>
    <n v="62"/>
    <d v="2025-01-25T00:00:00"/>
    <s v="04:52:06"/>
    <n v="2267.1499999999996"/>
    <n v="1"/>
    <s v="BeforeTime"/>
    <n v="2205.1499999999996"/>
    <n v="0.08"/>
    <n v="176.41199999999998"/>
    <n v="238.41199999999998"/>
  </r>
  <r>
    <s v="CID190"/>
    <s v="Valerie"/>
    <s v="Carr"/>
    <x v="10"/>
    <n v="26"/>
    <x v="2"/>
    <x v="2"/>
    <s v="valerie.carr@rediffmail.com"/>
    <s v="981 Emily Stream, South Brianna, CO 98063"/>
    <s v="OID6898"/>
    <d v="2024-01-22T00:00:00"/>
    <x v="4"/>
    <s v="22:08:17"/>
    <x v="5"/>
    <n v="431.44"/>
    <n v="5"/>
    <n v="2157.1999999999998"/>
    <x v="1"/>
    <n v="172.57599999999999"/>
    <n v="1984.6239999999998"/>
    <n v="2"/>
    <n v="2041.6239999999998"/>
    <n v="57"/>
    <d v="2024-01-27T00:00:00"/>
    <s v="06:23:07"/>
    <n v="2214.1999999999998"/>
    <n v="5"/>
    <s v="Late"/>
    <n v="2157.1999999999998"/>
    <n v="0.08"/>
    <n v="172.57599999999999"/>
    <n v="229.57599999999999"/>
  </r>
  <r>
    <s v="CID111"/>
    <s v="Brian"/>
    <s v="Kennedy"/>
    <x v="11"/>
    <n v="69"/>
    <x v="1"/>
    <x v="0"/>
    <s v="brian.kennedy@outlook.com"/>
    <s v="25126 Nancy Fort Suite 568, Alexandrachester, AZ 44823"/>
    <s v="OID5696"/>
    <d v="2023-07-25T00:00:00"/>
    <x v="6"/>
    <s v="17:56:01"/>
    <x v="5"/>
    <n v="431.44"/>
    <n v="5"/>
    <n v="2157.1999999999998"/>
    <x v="3"/>
    <n v="323.58"/>
    <n v="1833.62"/>
    <n v="6"/>
    <n v="1892.62"/>
    <n v="59"/>
    <d v="2023-08-01T00:00:00"/>
    <s v="15:52:42"/>
    <n v="2216.1999999999998"/>
    <n v="7"/>
    <s v="Late"/>
    <n v="2157.1999999999998"/>
    <n v="0.15"/>
    <n v="323.58"/>
    <n v="382.58"/>
  </r>
  <r>
    <s v="CID194"/>
    <s v="Barbara"/>
    <s v="Fuller"/>
    <x v="12"/>
    <n v="43"/>
    <x v="2"/>
    <x v="5"/>
    <s v="barbara.fuller@rediffmail.com"/>
    <s v="134 Mcintosh Unions Suite 574, Lake Laura, DE 96577"/>
    <s v="OID2519"/>
    <d v="2023-12-16T00:00:00"/>
    <x v="7"/>
    <s v="19:28:31"/>
    <x v="5"/>
    <n v="431.44"/>
    <n v="5"/>
    <n v="2157.1999999999998"/>
    <x v="3"/>
    <n v="323.58"/>
    <n v="1833.62"/>
    <n v="4"/>
    <n v="1875.62"/>
    <n v="42"/>
    <d v="2023-12-20T00:00:00"/>
    <s v="16:45:09"/>
    <n v="2199.1999999999998"/>
    <n v="4"/>
    <s v="Intime"/>
    <n v="2157.1999999999998"/>
    <n v="0.15"/>
    <n v="323.58"/>
    <n v="365.58"/>
  </r>
  <r>
    <s v="CID112"/>
    <s v="Lindsey"/>
    <s v="Byrd"/>
    <x v="13"/>
    <n v="32"/>
    <x v="1"/>
    <x v="5"/>
    <s v="lindsey.byrd@rediffmail.com"/>
    <s v="USCGC Harper, FPO AA 38349"/>
    <s v="OID2338"/>
    <d v="2023-07-10T00:00:00"/>
    <x v="6"/>
    <s v="22:07:35"/>
    <x v="6"/>
    <n v="425.59"/>
    <n v="5"/>
    <n v="2127.9499999999998"/>
    <x v="1"/>
    <n v="170.23599999999999"/>
    <n v="1957.7139999999999"/>
    <n v="7"/>
    <n v="2014.7139999999999"/>
    <n v="57"/>
    <d v="2023-07-17T00:00:00"/>
    <s v="03:39:43"/>
    <n v="2184.9499999999998"/>
    <n v="7"/>
    <s v="Intime"/>
    <n v="2127.9499999999998"/>
    <n v="0.08"/>
    <n v="170.23599999999999"/>
    <n v="227.23599999999999"/>
  </r>
  <r>
    <s v="CID187"/>
    <s v="Jason"/>
    <s v="Lopez"/>
    <x v="14"/>
    <n v="40"/>
    <x v="2"/>
    <x v="2"/>
    <s v="jason.lopez@outlook.com"/>
    <s v="934 Levine View, Brentport, NE 38210"/>
    <s v="OID6597"/>
    <d v="2024-08-23T00:00:00"/>
    <x v="3"/>
    <s v="19:44:28"/>
    <x v="6"/>
    <n v="425.59"/>
    <n v="5"/>
    <n v="2127.9499999999998"/>
    <x v="4"/>
    <n v="0"/>
    <n v="2127.9499999999998"/>
    <n v="4"/>
    <n v="2170.9499999999998"/>
    <n v="43"/>
    <d v="2024-08-27T00:00:00"/>
    <s v="02:51:48"/>
    <n v="2170.9499999999998"/>
    <n v="4"/>
    <s v="Intime"/>
    <n v="2127.9499999999998"/>
    <n v="0"/>
    <n v="0"/>
    <n v="0"/>
  </r>
  <r>
    <s v="CID175"/>
    <s v="Katherine"/>
    <s v="Weber"/>
    <x v="15"/>
    <n v="42"/>
    <x v="2"/>
    <x v="4"/>
    <s v="katherine.weber@outlook.com"/>
    <s v="04887 Kimberly Union Apt. 645, Port Laura, IL 97219"/>
    <s v="OID6802"/>
    <d v="2024-12-20T00:00:00"/>
    <x v="7"/>
    <s v="03:00:01"/>
    <x v="6"/>
    <n v="425.59"/>
    <n v="5"/>
    <n v="2127.9499999999998"/>
    <x v="4"/>
    <n v="0"/>
    <n v="2127.9499999999998"/>
    <n v="5"/>
    <n v="2174.9499999999998"/>
    <n v="47"/>
    <d v="2024-12-26T00:00:00"/>
    <s v="06:03:03"/>
    <n v="2174.9499999999998"/>
    <n v="6"/>
    <s v="Late"/>
    <n v="2127.9499999999998"/>
    <n v="0"/>
    <n v="0"/>
    <n v="0"/>
  </r>
  <r>
    <s v="CID179"/>
    <s v="Christian"/>
    <s v="Clayton"/>
    <x v="16"/>
    <n v="39"/>
    <x v="0"/>
    <x v="5"/>
    <s v="christian.clayton@yahoo.com"/>
    <s v="065 Madison Way, Smithstad, CT 68011"/>
    <s v="OID9748"/>
    <d v="2024-04-05T00:00:00"/>
    <x v="0"/>
    <s v="02:46:27"/>
    <x v="7"/>
    <n v="424.82"/>
    <n v="5"/>
    <n v="2124.1"/>
    <x v="2"/>
    <n v="212.41"/>
    <n v="1911.6899999999998"/>
    <n v="7"/>
    <n v="1948.6899999999998"/>
    <n v="37"/>
    <d v="2024-04-11T00:00:00"/>
    <s v="06:40:47"/>
    <n v="2161.1"/>
    <n v="6"/>
    <s v="BeforeTime"/>
    <n v="2124.1"/>
    <n v="0.1"/>
    <n v="212.41"/>
    <n v="249.41"/>
  </r>
  <r>
    <s v="CID102"/>
    <s v="Jessica"/>
    <s v="Ruiz"/>
    <x v="17"/>
    <n v="19"/>
    <x v="0"/>
    <x v="4"/>
    <s v="jessica.ruiz@rediffmail.com"/>
    <s v="02370 Laura Station Suite 309, Brandonville, DE 18875"/>
    <s v="OID8034"/>
    <d v="2024-06-10T00:00:00"/>
    <x v="8"/>
    <s v="08:30:48"/>
    <x v="8"/>
    <n v="421.7"/>
    <n v="5"/>
    <n v="2108.5"/>
    <x v="2"/>
    <n v="210.85000000000002"/>
    <n v="1897.65"/>
    <n v="6"/>
    <n v="1958.65"/>
    <n v="61"/>
    <d v="2024-06-14T00:00:00"/>
    <s v="01:26:28"/>
    <n v="2169.5"/>
    <n v="4"/>
    <s v="BeforeTime"/>
    <n v="2108.5"/>
    <n v="0.1"/>
    <n v="210.85000000000002"/>
    <n v="271.85000000000002"/>
  </r>
  <r>
    <s v="CID173"/>
    <s v="Susan"/>
    <s v="Thompson"/>
    <x v="18"/>
    <n v="37"/>
    <x v="2"/>
    <x v="3"/>
    <s v="susan.thompson@outlook.com"/>
    <s v="47821 William Station, East Ashleymouth, FL 20562"/>
    <s v="OID6045"/>
    <d v="2025-01-14T00:00:00"/>
    <x v="4"/>
    <s v="17:53:46"/>
    <x v="8"/>
    <n v="421.7"/>
    <n v="5"/>
    <n v="2108.5"/>
    <x v="3"/>
    <n v="316.27499999999998"/>
    <n v="1792.2249999999999"/>
    <n v="2"/>
    <n v="1848.2249999999999"/>
    <n v="56"/>
    <d v="2025-01-17T00:00:00"/>
    <s v="18:13:08"/>
    <n v="2164.5"/>
    <n v="3"/>
    <s v="Late"/>
    <n v="2108.5"/>
    <n v="0.15"/>
    <n v="316.27499999999998"/>
    <n v="372.27499999999998"/>
  </r>
  <r>
    <s v="CID157"/>
    <s v="Sarah"/>
    <s v="Benson"/>
    <x v="19"/>
    <n v="40"/>
    <x v="2"/>
    <x v="3"/>
    <s v="sarah.benson@outlook.com"/>
    <s v="5399 Hayes Well, West Pennystad, IL 93798"/>
    <s v="OID1219"/>
    <d v="2023-09-21T00:00:00"/>
    <x v="9"/>
    <s v="13:39:02"/>
    <x v="8"/>
    <n v="421.7"/>
    <n v="5"/>
    <n v="2108.5"/>
    <x v="3"/>
    <n v="316.27499999999998"/>
    <n v="1792.2249999999999"/>
    <n v="6"/>
    <n v="1850.2249999999999"/>
    <n v="58"/>
    <d v="2023-09-28T00:00:00"/>
    <s v="06:39:28"/>
    <n v="2166.5"/>
    <n v="7"/>
    <s v="Late"/>
    <n v="2108.5"/>
    <n v="0.15"/>
    <n v="316.27499999999998"/>
    <n v="374.27499999999998"/>
  </r>
  <r>
    <s v="CID115"/>
    <s v="Karl"/>
    <s v="Gallagher"/>
    <x v="20"/>
    <n v="60"/>
    <x v="2"/>
    <x v="0"/>
    <s v="karl.gallagher@rediffmail.com"/>
    <s v="5016 Snow Mountains Apt. 063, New Seanport, WY 41492"/>
    <s v="OID7077"/>
    <d v="2024-05-14T00:00:00"/>
    <x v="1"/>
    <s v="18:29:21"/>
    <x v="9"/>
    <n v="405"/>
    <n v="5"/>
    <n v="2025"/>
    <x v="4"/>
    <n v="0"/>
    <n v="2025"/>
    <n v="6"/>
    <n v="2072"/>
    <n v="47"/>
    <d v="2024-05-18T00:00:00"/>
    <s v="07:00:32"/>
    <n v="2072"/>
    <n v="4"/>
    <s v="BeforeTime"/>
    <n v="2025"/>
    <n v="0"/>
    <n v="0"/>
    <n v="0"/>
  </r>
  <r>
    <s v="CID105"/>
    <s v="Joseph"/>
    <s v="Stewart"/>
    <x v="21"/>
    <n v="30"/>
    <x v="0"/>
    <x v="1"/>
    <s v="joseph.stewart@yahoo.com"/>
    <s v="4082 Wang Terrace Suite 040, Victorialand, ME 41532"/>
    <s v="OID7664"/>
    <d v="2023-07-13T00:00:00"/>
    <x v="6"/>
    <s v="03:11:30"/>
    <x v="9"/>
    <n v="405"/>
    <n v="5"/>
    <n v="2025"/>
    <x v="2"/>
    <n v="202.5"/>
    <n v="1822.5"/>
    <n v="6"/>
    <n v="1858.5"/>
    <n v="36"/>
    <d v="2023-07-20T00:00:00"/>
    <s v="18:17:55"/>
    <n v="2061"/>
    <n v="7"/>
    <s v="Late"/>
    <n v="2025"/>
    <n v="0.1"/>
    <n v="202.5"/>
    <n v="238.5"/>
  </r>
  <r>
    <s v="CID182"/>
    <s v="John"/>
    <s v="Herrera"/>
    <x v="22"/>
    <n v="64"/>
    <x v="0"/>
    <x v="1"/>
    <s v="john.herrera@outlook.com"/>
    <s v="61263 Jacob Isle, Amandatown, TN 34321"/>
    <s v="OID9360"/>
    <d v="2023-06-17T00:00:00"/>
    <x v="8"/>
    <s v="17:09:22"/>
    <x v="10"/>
    <n v="403.03"/>
    <n v="5"/>
    <n v="2015.1499999999999"/>
    <x v="4"/>
    <n v="0"/>
    <n v="2015.1499999999999"/>
    <n v="7"/>
    <n v="2067.1499999999996"/>
    <n v="52"/>
    <d v="2023-06-20T00:00:00"/>
    <s v="16:24:38"/>
    <n v="2067.1499999999996"/>
    <n v="3"/>
    <s v="BeforeTime"/>
    <n v="2015.1499999999999"/>
    <n v="0"/>
    <n v="0"/>
    <n v="0"/>
  </r>
  <r>
    <s v="CID113"/>
    <s v="Brendan"/>
    <s v="Kelly"/>
    <x v="23"/>
    <n v="50"/>
    <x v="2"/>
    <x v="2"/>
    <s v="brendan.kelly@rediffmail.com"/>
    <s v="688 Donald Oval Suite 089, Shepardport, CA 50844"/>
    <s v="OID1586"/>
    <d v="2024-06-27T00:00:00"/>
    <x v="8"/>
    <s v="14:01:51"/>
    <x v="10"/>
    <n v="403.03"/>
    <n v="5"/>
    <n v="2015.1499999999999"/>
    <x v="0"/>
    <n v="403.03"/>
    <n v="1612.12"/>
    <n v="2"/>
    <n v="1664.12"/>
    <n v="52"/>
    <d v="2024-07-02T00:00:00"/>
    <s v="23:41:13"/>
    <n v="2067.1499999999996"/>
    <n v="5"/>
    <s v="Late"/>
    <n v="2015.1499999999999"/>
    <n v="0.2"/>
    <n v="403.03"/>
    <n v="455.03"/>
  </r>
  <r>
    <s v="CID103"/>
    <s v="Jason"/>
    <s v="Nguyen"/>
    <x v="24"/>
    <n v="51"/>
    <x v="2"/>
    <x v="7"/>
    <s v="jason.nguyen@yahoo.com"/>
    <s v="7112 Travis Glens Suite 790, Crystalland, WV 38373"/>
    <s v="OID8953"/>
    <d v="2023-12-17T00:00:00"/>
    <x v="7"/>
    <s v="12:19:34"/>
    <x v="0"/>
    <n v="496.59"/>
    <n v="4"/>
    <n v="1986.36"/>
    <x v="3"/>
    <n v="297.95399999999995"/>
    <n v="1688.4059999999999"/>
    <n v="7"/>
    <n v="1724.4059999999999"/>
    <n v="36"/>
    <d v="2023-12-20T00:00:00"/>
    <s v="10:04:54"/>
    <n v="2022.36"/>
    <n v="3"/>
    <s v="BeforeTime"/>
    <n v="1986.36"/>
    <n v="0.15"/>
    <n v="297.95399999999995"/>
    <n v="333.95399999999995"/>
  </r>
  <r>
    <s v="CID199"/>
    <s v="Lori"/>
    <s v="Cook"/>
    <x v="25"/>
    <n v="18"/>
    <x v="0"/>
    <x v="1"/>
    <s v="lori.cook@rediffmail.com"/>
    <s v="86837 Bell Meadows, North Jasonshire, UT 51354"/>
    <s v="OID2429"/>
    <d v="2024-08-31T00:00:00"/>
    <x v="3"/>
    <s v="08:31:11"/>
    <x v="0"/>
    <n v="496.59"/>
    <n v="4"/>
    <n v="1986.36"/>
    <x v="0"/>
    <n v="397.27199999999999"/>
    <n v="1589.088"/>
    <n v="1"/>
    <n v="1648.088"/>
    <n v="59"/>
    <d v="2024-09-06T00:00:00"/>
    <s v="09:56:25"/>
    <n v="2045.36"/>
    <n v="6"/>
    <s v="Late"/>
    <n v="1986.36"/>
    <n v="0.2"/>
    <n v="397.27199999999999"/>
    <n v="456.27199999999999"/>
  </r>
  <r>
    <s v="CID116"/>
    <s v="John"/>
    <s v="Ramirez"/>
    <x v="26"/>
    <n v="28"/>
    <x v="2"/>
    <x v="7"/>
    <s v="john.ramirez@outlook.com"/>
    <s v="02797 Martin Landing, South Michelle, VT 98781"/>
    <s v="OID6555"/>
    <d v="2024-05-31T00:00:00"/>
    <x v="1"/>
    <s v="10:55:08"/>
    <x v="1"/>
    <n v="481.48"/>
    <n v="4"/>
    <n v="1925.92"/>
    <x v="2"/>
    <n v="192.59200000000001"/>
    <n v="1733.328"/>
    <n v="1"/>
    <n v="1769.328"/>
    <n v="36"/>
    <d v="2024-06-04T00:00:00"/>
    <s v="10:56:05"/>
    <n v="1961.92"/>
    <n v="4"/>
    <s v="Late"/>
    <n v="1925.92"/>
    <n v="0.1"/>
    <n v="192.59200000000001"/>
    <n v="228.59200000000001"/>
  </r>
  <r>
    <s v="CID119"/>
    <s v="Amy"/>
    <s v="Griffin"/>
    <x v="1"/>
    <n v="29"/>
    <x v="1"/>
    <x v="1"/>
    <s v="amy.griffin@rediffmail.com"/>
    <s v="07350 Aaron Meadow Suite 138, Kiaraberg, AL 79545"/>
    <s v="OID3568"/>
    <d v="2023-11-21T00:00:00"/>
    <x v="2"/>
    <s v="10:25:49"/>
    <x v="1"/>
    <n v="481.48"/>
    <n v="4"/>
    <n v="1925.92"/>
    <x v="4"/>
    <n v="0"/>
    <n v="1925.92"/>
    <n v="3"/>
    <n v="1979.92"/>
    <n v="54"/>
    <d v="2023-11-26T00:00:00"/>
    <s v="08:21:37"/>
    <n v="1979.92"/>
    <n v="5"/>
    <s v="Late"/>
    <n v="1925.92"/>
    <n v="0"/>
    <n v="0"/>
    <n v="0"/>
  </r>
  <r>
    <s v="CID191"/>
    <s v="Lauren"/>
    <s v="Long"/>
    <x v="5"/>
    <n v="44"/>
    <x v="1"/>
    <x v="3"/>
    <s v="lauren.long@gmail.com"/>
    <s v="258 Michael Brooks Suite 363, Arnoldview, PA 49438"/>
    <s v="OID1067"/>
    <d v="2025-01-02T00:00:00"/>
    <x v="4"/>
    <s v="06:15:44"/>
    <x v="1"/>
    <n v="481.48"/>
    <n v="4"/>
    <n v="1925.92"/>
    <x v="3"/>
    <n v="288.88799999999998"/>
    <n v="1637.0320000000002"/>
    <n v="4"/>
    <n v="1704.0320000000002"/>
    <n v="67"/>
    <d v="2025-01-08T00:00:00"/>
    <s v="09:11:07"/>
    <n v="1992.92"/>
    <n v="6"/>
    <s v="Late"/>
    <n v="1925.92"/>
    <n v="0.15"/>
    <n v="288.88799999999998"/>
    <n v="355.88799999999998"/>
  </r>
  <r>
    <s v="CID131"/>
    <s v="Veronica"/>
    <s v="Lopez"/>
    <x v="27"/>
    <n v="18"/>
    <x v="0"/>
    <x v="3"/>
    <s v="veronica.lopez@gmail.com"/>
    <s v="660 Karen Station Apt. 887, Allenside, ID 03170"/>
    <s v="OID2353"/>
    <d v="2024-02-10T00:00:00"/>
    <x v="10"/>
    <s v="15:59:36"/>
    <x v="1"/>
    <n v="481.48"/>
    <n v="4"/>
    <n v="1925.92"/>
    <x v="4"/>
    <n v="0"/>
    <n v="1925.92"/>
    <n v="2"/>
    <n v="1986.92"/>
    <n v="61"/>
    <d v="2024-02-16T00:00:00"/>
    <s v="07:38:19"/>
    <n v="1986.92"/>
    <n v="6"/>
    <s v="Late"/>
    <n v="1925.92"/>
    <n v="0"/>
    <n v="0"/>
    <n v="0"/>
  </r>
  <r>
    <s v="CID110"/>
    <s v="Katie"/>
    <s v="Hicks"/>
    <x v="28"/>
    <n v="34"/>
    <x v="2"/>
    <x v="5"/>
    <s v="katie.hicks@rediffmail.com"/>
    <s v="848 William Port, New Marilyn, SD 58000"/>
    <s v="OID4399"/>
    <d v="2024-12-20T00:00:00"/>
    <x v="7"/>
    <s v="07:13:46"/>
    <x v="1"/>
    <n v="481.48"/>
    <n v="4"/>
    <n v="1925.92"/>
    <x v="3"/>
    <n v="288.88799999999998"/>
    <n v="1637.0320000000002"/>
    <n v="4"/>
    <n v="1675.0320000000002"/>
    <n v="38"/>
    <d v="2024-12-21T00:00:00"/>
    <s v="09:05:57"/>
    <n v="1963.92"/>
    <n v="1"/>
    <s v="BeforeTime"/>
    <n v="1925.92"/>
    <n v="0.15"/>
    <n v="288.88799999999998"/>
    <n v="326.88799999999998"/>
  </r>
  <r>
    <s v="CID174"/>
    <s v="Jodi"/>
    <s v="Whitney"/>
    <x v="2"/>
    <n v="33"/>
    <x v="2"/>
    <x v="2"/>
    <s v="jodi.whitney@yahoo.com"/>
    <s v="72876 Lara Key Suite 383, Gutierrezton, OR 71683"/>
    <s v="OID6936"/>
    <d v="2023-07-18T00:00:00"/>
    <x v="6"/>
    <s v="06:33:55"/>
    <x v="2"/>
    <n v="477.52"/>
    <n v="4"/>
    <n v="1910.08"/>
    <x v="0"/>
    <n v="382.01600000000002"/>
    <n v="1528.0639999999999"/>
    <n v="5"/>
    <n v="1583.0639999999999"/>
    <n v="55"/>
    <d v="2023-07-20T00:00:00"/>
    <s v="13:05:17"/>
    <n v="1965.08"/>
    <n v="2"/>
    <s v="BeforeTime"/>
    <n v="1910.08"/>
    <n v="0.2"/>
    <n v="382.01600000000002"/>
    <n v="437.01600000000002"/>
  </r>
  <r>
    <s v="CID167"/>
    <s v="Diana"/>
    <s v="French"/>
    <x v="29"/>
    <n v="54"/>
    <x v="0"/>
    <x v="4"/>
    <s v="diana.french@outlook.com"/>
    <s v="163 Jeffrey Drive, South Mary, NH 23999"/>
    <s v="OID6485"/>
    <d v="2024-03-02T00:00:00"/>
    <x v="5"/>
    <s v="13:21:50"/>
    <x v="2"/>
    <n v="477.52"/>
    <n v="4"/>
    <n v="1910.08"/>
    <x v="2"/>
    <n v="191.00800000000001"/>
    <n v="1719.0719999999999"/>
    <n v="3"/>
    <n v="1773.0719999999999"/>
    <n v="54"/>
    <d v="2024-03-03T00:00:00"/>
    <s v="18:29:46"/>
    <n v="1964.08"/>
    <n v="1"/>
    <s v="BeforeTime"/>
    <n v="1910.08"/>
    <n v="0.1"/>
    <n v="191.00800000000001"/>
    <n v="245.00800000000001"/>
  </r>
  <r>
    <s v="CID127"/>
    <s v="Natasha"/>
    <s v="Michael"/>
    <x v="30"/>
    <n v="49"/>
    <x v="1"/>
    <x v="1"/>
    <s v="natasha.michael@gmail.com"/>
    <s v="78992 Justin Estates Suite 226, Floresberg, NM 40797"/>
    <s v="OID5561"/>
    <d v="2023-11-03T00:00:00"/>
    <x v="2"/>
    <s v="07:21:30"/>
    <x v="11"/>
    <n v="381.73"/>
    <n v="5"/>
    <n v="1908.65"/>
    <x v="1"/>
    <n v="152.69200000000001"/>
    <n v="1755.9580000000001"/>
    <n v="7"/>
    <n v="1800.9580000000001"/>
    <n v="45"/>
    <d v="2023-11-06T00:00:00"/>
    <s v="09:57:13"/>
    <n v="1953.65"/>
    <n v="3"/>
    <s v="BeforeTime"/>
    <n v="1908.65"/>
    <n v="0.08"/>
    <n v="152.69200000000001"/>
    <n v="197.69200000000001"/>
  </r>
  <r>
    <s v="CID124"/>
    <s v="Edward"/>
    <s v="Black"/>
    <x v="31"/>
    <n v="42"/>
    <x v="1"/>
    <x v="4"/>
    <s v="edward.black@gmail.com"/>
    <s v="5879 Susan Via Apt. 886, Sandovalbury, WV 61449"/>
    <s v="OID4837"/>
    <d v="2024-10-31T00:00:00"/>
    <x v="11"/>
    <s v="22:42:38"/>
    <x v="11"/>
    <n v="381.73"/>
    <n v="5"/>
    <n v="1908.65"/>
    <x v="3"/>
    <n v="286.29750000000001"/>
    <n v="1622.3525"/>
    <n v="1"/>
    <n v="1675.3525"/>
    <n v="53"/>
    <d v="2024-11-07T00:00:00"/>
    <s v="12:41:59"/>
    <n v="1961.65"/>
    <n v="7"/>
    <s v="Late"/>
    <n v="1908.65"/>
    <n v="0.15"/>
    <n v="286.29750000000001"/>
    <n v="339.29750000000001"/>
  </r>
  <r>
    <s v="CID164"/>
    <s v="Lauren"/>
    <s v="Lane"/>
    <x v="32"/>
    <n v="30"/>
    <x v="1"/>
    <x v="3"/>
    <s v="lauren.lane@gmail.com"/>
    <s v="56985 Sergio Extensions, Port Albert, CO 02898"/>
    <s v="OID5745"/>
    <d v="2024-03-10T00:00:00"/>
    <x v="5"/>
    <s v="02:16:10"/>
    <x v="12"/>
    <n v="372.62"/>
    <n v="5"/>
    <n v="1863.1"/>
    <x v="1"/>
    <n v="149.048"/>
    <n v="1714.0519999999999"/>
    <n v="4"/>
    <n v="1780.0519999999999"/>
    <n v="66"/>
    <d v="2024-03-13T00:00:00"/>
    <s v="06:31:20"/>
    <n v="1929.1"/>
    <n v="3"/>
    <s v="BeforeTime"/>
    <n v="1863.1"/>
    <n v="0.08"/>
    <n v="149.048"/>
    <n v="215.048"/>
  </r>
  <r>
    <s v="CID102"/>
    <s v="Jessica"/>
    <s v="Ruiz"/>
    <x v="17"/>
    <n v="19"/>
    <x v="0"/>
    <x v="4"/>
    <s v="jessica.ruiz@rediffmail.com"/>
    <s v="02370 Laura Station Suite 309, Brandonville, DE 18875"/>
    <s v="OID1159"/>
    <d v="2023-04-01T00:00:00"/>
    <x v="0"/>
    <s v="04:24:31"/>
    <x v="13"/>
    <n v="461.07"/>
    <n v="4"/>
    <n v="1844.28"/>
    <x v="4"/>
    <n v="0"/>
    <n v="1844.28"/>
    <n v="6"/>
    <n v="1890.28"/>
    <n v="46"/>
    <d v="2023-04-06T00:00:00"/>
    <s v="06:44:34"/>
    <n v="1890.28"/>
    <n v="5"/>
    <s v="BeforeTime"/>
    <n v="1844.28"/>
    <n v="0"/>
    <n v="0"/>
    <n v="0"/>
  </r>
  <r>
    <s v="CID114"/>
    <s v="Lauren"/>
    <s v="Crane"/>
    <x v="3"/>
    <n v="62"/>
    <x v="0"/>
    <x v="1"/>
    <s v="lauren.crane@yahoo.com"/>
    <s v="30313 Reyes Parkways Suite 392, Port Bradley, SC 24078"/>
    <s v="OID5182"/>
    <d v="2024-02-22T00:00:00"/>
    <x v="10"/>
    <s v="03:46:35"/>
    <x v="13"/>
    <n v="461.07"/>
    <n v="4"/>
    <n v="1844.28"/>
    <x v="3"/>
    <n v="276.642"/>
    <n v="1567.6379999999999"/>
    <n v="1"/>
    <n v="1633.6379999999999"/>
    <n v="66"/>
    <d v="2024-02-24T00:00:00"/>
    <s v="11:20:17"/>
    <n v="1910.28"/>
    <n v="2"/>
    <s v="Late"/>
    <n v="1844.28"/>
    <n v="0.15"/>
    <n v="276.642"/>
    <n v="342.642"/>
  </r>
  <r>
    <s v="CID136"/>
    <s v="Brittany"/>
    <s v="Stewart"/>
    <x v="33"/>
    <n v="68"/>
    <x v="2"/>
    <x v="3"/>
    <s v="brittany.stewart@gmail.com"/>
    <s v="6250 David Loaf Suite 561, North Pamelaberg, WV 63652"/>
    <s v="OID9816"/>
    <d v="2024-05-05T00:00:00"/>
    <x v="1"/>
    <s v="07:28:42"/>
    <x v="14"/>
    <n v="363.64"/>
    <n v="5"/>
    <n v="1818.1999999999998"/>
    <x v="2"/>
    <n v="181.82"/>
    <n v="1636.3799999999999"/>
    <n v="7"/>
    <n v="1696.3799999999999"/>
    <n v="60"/>
    <d v="2024-05-07T00:00:00"/>
    <s v="12:34:57"/>
    <n v="1878.1999999999998"/>
    <n v="2"/>
    <s v="BeforeTime"/>
    <n v="1818.1999999999998"/>
    <n v="0.1"/>
    <n v="181.82"/>
    <n v="241.82"/>
  </r>
  <r>
    <s v="CID173"/>
    <s v="Susan"/>
    <s v="Thompson"/>
    <x v="18"/>
    <n v="37"/>
    <x v="2"/>
    <x v="3"/>
    <s v="susan.thompson@outlook.com"/>
    <s v="47821 William Station, East Ashleymouth, FL 20562"/>
    <s v="OID9112"/>
    <d v="2023-11-19T00:00:00"/>
    <x v="2"/>
    <s v="14:57:06"/>
    <x v="15"/>
    <n v="433.62"/>
    <n v="4"/>
    <n v="1734.48"/>
    <x v="0"/>
    <n v="346.89600000000002"/>
    <n v="1387.5840000000001"/>
    <n v="3"/>
    <n v="1423.5840000000001"/>
    <n v="36"/>
    <d v="2023-11-22T00:00:00"/>
    <s v="21:20:28"/>
    <n v="1770.48"/>
    <n v="3"/>
    <s v="Intime"/>
    <n v="1734.48"/>
    <n v="0.2"/>
    <n v="346.89600000000002"/>
    <n v="382.89600000000002"/>
  </r>
  <r>
    <s v="CID164"/>
    <s v="Lauren"/>
    <s v="Lane"/>
    <x v="32"/>
    <n v="30"/>
    <x v="1"/>
    <x v="3"/>
    <s v="lauren.lane@gmail.com"/>
    <s v="56985 Sergio Extensions, Port Albert, CO 02898"/>
    <s v="OID9247"/>
    <d v="2024-04-04T00:00:00"/>
    <x v="0"/>
    <s v="06:51:49"/>
    <x v="15"/>
    <n v="433.62"/>
    <n v="4"/>
    <n v="1734.48"/>
    <x v="4"/>
    <n v="0"/>
    <n v="1734.48"/>
    <n v="1"/>
    <n v="1790.48"/>
    <n v="56"/>
    <d v="2024-04-10T00:00:00"/>
    <s v="08:40:53"/>
    <n v="1790.48"/>
    <n v="6"/>
    <s v="Late"/>
    <n v="1734.48"/>
    <n v="0"/>
    <n v="0"/>
    <n v="0"/>
  </r>
  <r>
    <s v="CID178"/>
    <s v="Amy"/>
    <s v="Reid"/>
    <x v="34"/>
    <n v="44"/>
    <x v="0"/>
    <x v="6"/>
    <s v="amy.reid@rediffmail.com"/>
    <s v="6262 Simpson Village, North Danielle, RI 76074"/>
    <s v="OID1411"/>
    <d v="2024-12-10T00:00:00"/>
    <x v="7"/>
    <s v="11:34:01"/>
    <x v="5"/>
    <n v="431.44"/>
    <n v="4"/>
    <n v="1725.76"/>
    <x v="3"/>
    <n v="258.86399999999998"/>
    <n v="1466.896"/>
    <n v="2"/>
    <n v="1532.896"/>
    <n v="66"/>
    <d v="2024-12-11T00:00:00"/>
    <s v="11:25:35"/>
    <n v="1791.76"/>
    <n v="1"/>
    <s v="BeforeTime"/>
    <n v="1725.76"/>
    <n v="0.15"/>
    <n v="258.86399999999998"/>
    <n v="324.86399999999998"/>
  </r>
  <r>
    <s v="CID175"/>
    <s v="Katherine"/>
    <s v="Weber"/>
    <x v="15"/>
    <n v="42"/>
    <x v="2"/>
    <x v="4"/>
    <s v="katherine.weber@outlook.com"/>
    <s v="04887 Kimberly Union Apt. 645, Port Laura, IL 97219"/>
    <s v="OID7954"/>
    <d v="2023-11-03T00:00:00"/>
    <x v="2"/>
    <s v="04:29:06"/>
    <x v="5"/>
    <n v="431.44"/>
    <n v="4"/>
    <n v="1725.76"/>
    <x v="4"/>
    <n v="0"/>
    <n v="1725.76"/>
    <n v="3"/>
    <n v="1790.76"/>
    <n v="65"/>
    <d v="2023-11-09T00:00:00"/>
    <s v="22:44:53"/>
    <n v="1790.76"/>
    <n v="6"/>
    <s v="Late"/>
    <n v="1725.76"/>
    <n v="0"/>
    <n v="0"/>
    <n v="0"/>
  </r>
  <r>
    <s v="CID174"/>
    <s v="Jodi"/>
    <s v="Whitney"/>
    <x v="2"/>
    <n v="33"/>
    <x v="2"/>
    <x v="2"/>
    <s v="jodi.whitney@yahoo.com"/>
    <s v="72876 Lara Key Suite 383, Gutierrezton, OR 71683"/>
    <s v="OID7453"/>
    <d v="2024-07-22T00:00:00"/>
    <x v="6"/>
    <s v="21:08:59"/>
    <x v="6"/>
    <n v="425.59"/>
    <n v="4"/>
    <n v="1702.36"/>
    <x v="4"/>
    <n v="0"/>
    <n v="1702.36"/>
    <n v="6"/>
    <n v="1755.36"/>
    <n v="53"/>
    <d v="2024-07-23T00:00:00"/>
    <s v="10:39:08"/>
    <n v="1755.36"/>
    <n v="1"/>
    <s v="BeforeTime"/>
    <n v="1702.36"/>
    <n v="0"/>
    <n v="0"/>
    <n v="0"/>
  </r>
  <r>
    <s v="CID137"/>
    <s v="Gina"/>
    <s v="Moreno"/>
    <x v="35"/>
    <n v="36"/>
    <x v="2"/>
    <x v="7"/>
    <s v="gina.moreno@rediffmail.com"/>
    <s v="USS Murray, FPO AP 66559"/>
    <s v="OID9178"/>
    <d v="2023-06-14T00:00:00"/>
    <x v="8"/>
    <s v="18:34:02"/>
    <x v="7"/>
    <n v="424.82"/>
    <n v="4"/>
    <n v="1699.28"/>
    <x v="2"/>
    <n v="169.928"/>
    <n v="1529.3519999999999"/>
    <n v="5"/>
    <n v="1587.3519999999999"/>
    <n v="58"/>
    <d v="2023-06-21T00:00:00"/>
    <s v="13:27:30"/>
    <n v="1757.28"/>
    <n v="7"/>
    <s v="Late"/>
    <n v="1699.28"/>
    <n v="0.1"/>
    <n v="169.928"/>
    <n v="227.928"/>
  </r>
  <r>
    <s v="CID133"/>
    <s v="Donna"/>
    <s v="Oneill"/>
    <x v="36"/>
    <n v="70"/>
    <x v="1"/>
    <x v="2"/>
    <s v="donna.oneill@yahoo.com"/>
    <s v="464 Carolyn Crest Suite 738, Lake Isaiah, CA 66153"/>
    <s v="OID9404"/>
    <d v="2024-04-14T00:00:00"/>
    <x v="0"/>
    <s v="08:18:15"/>
    <x v="7"/>
    <n v="424.82"/>
    <n v="4"/>
    <n v="1699.28"/>
    <x v="3"/>
    <n v="254.892"/>
    <n v="1444.3879999999999"/>
    <n v="1"/>
    <n v="1514.3879999999999"/>
    <n v="70"/>
    <d v="2024-04-20T00:00:00"/>
    <s v="08:36:13"/>
    <n v="1769.28"/>
    <n v="6"/>
    <s v="Late"/>
    <n v="1699.28"/>
    <n v="0.15"/>
    <n v="254.892"/>
    <n v="324.892"/>
  </r>
  <r>
    <s v="CID107"/>
    <s v="Lisa"/>
    <s v="Miller"/>
    <x v="37"/>
    <n v="70"/>
    <x v="0"/>
    <x v="6"/>
    <s v="lisa.miller@gmail.com"/>
    <s v="89748 Campbell Drive, South Tannerland, WI 13143"/>
    <s v="OID2659"/>
    <d v="2024-08-04T00:00:00"/>
    <x v="3"/>
    <s v="16:59:55"/>
    <x v="8"/>
    <n v="421.7"/>
    <n v="4"/>
    <n v="1686.8"/>
    <x v="1"/>
    <n v="134.94399999999999"/>
    <n v="1551.856"/>
    <n v="7"/>
    <n v="1620.856"/>
    <n v="69"/>
    <d v="2024-08-10T00:00:00"/>
    <s v="01:05:29"/>
    <n v="1755.8"/>
    <n v="6"/>
    <s v="BeforeTime"/>
    <n v="1686.8"/>
    <n v="0.08"/>
    <n v="134.94399999999999"/>
    <n v="203.94399999999999"/>
  </r>
  <r>
    <s v="CID117"/>
    <s v="Hannah"/>
    <s v="Gutierrez"/>
    <x v="38"/>
    <n v="55"/>
    <x v="0"/>
    <x v="5"/>
    <s v="hannah.gutierrez@yahoo.com"/>
    <s v="2420 David Manors, Jessicaland, CT 41698"/>
    <s v="OID4185"/>
    <d v="2024-04-02T00:00:00"/>
    <x v="0"/>
    <s v="17:17:44"/>
    <x v="8"/>
    <n v="421.7"/>
    <n v="4"/>
    <n v="1686.8"/>
    <x v="1"/>
    <n v="134.94399999999999"/>
    <n v="1551.856"/>
    <n v="5"/>
    <n v="1606.856"/>
    <n v="55"/>
    <d v="2024-04-07T00:00:00"/>
    <s v="11:45:52"/>
    <n v="1741.8"/>
    <n v="5"/>
    <s v="Intime"/>
    <n v="1686.8"/>
    <n v="0.08"/>
    <n v="134.94399999999999"/>
    <n v="189.94399999999999"/>
  </r>
  <r>
    <s v="CID153"/>
    <s v="Mitchell"/>
    <s v="Parker"/>
    <x v="39"/>
    <n v="39"/>
    <x v="2"/>
    <x v="1"/>
    <s v="mitchell.parker@yahoo.com"/>
    <s v="PSC 3316, Box 9303, APO AE 29513"/>
    <s v="OID3165"/>
    <d v="2023-04-08T00:00:00"/>
    <x v="0"/>
    <s v="09:58:35"/>
    <x v="9"/>
    <n v="405"/>
    <n v="4"/>
    <n v="1620"/>
    <x v="2"/>
    <n v="162"/>
    <n v="1458"/>
    <n v="7"/>
    <n v="1528"/>
    <n v="70"/>
    <d v="2023-04-13T00:00:00"/>
    <s v="14:02:18"/>
    <n v="1690"/>
    <n v="5"/>
    <s v="BeforeTime"/>
    <n v="1620"/>
    <n v="0.1"/>
    <n v="162"/>
    <n v="232"/>
  </r>
  <r>
    <s v="CID133"/>
    <s v="Donna"/>
    <s v="Oneill"/>
    <x v="36"/>
    <n v="70"/>
    <x v="1"/>
    <x v="2"/>
    <s v="donna.oneill@yahoo.com"/>
    <s v="464 Carolyn Crest Suite 738, Lake Isaiah, CA 66153"/>
    <s v="OID6453"/>
    <d v="2023-12-21T00:00:00"/>
    <x v="7"/>
    <s v="07:07:24"/>
    <x v="10"/>
    <n v="403.03"/>
    <n v="4"/>
    <n v="1612.12"/>
    <x v="2"/>
    <n v="161.21199999999999"/>
    <n v="1450.9079999999999"/>
    <n v="6"/>
    <n v="1497.9079999999999"/>
    <n v="47"/>
    <d v="2023-12-23T00:00:00"/>
    <s v="01:21:39"/>
    <n v="1659.12"/>
    <n v="2"/>
    <s v="BeforeTime"/>
    <n v="1612.12"/>
    <n v="0.1"/>
    <n v="161.21199999999999"/>
    <n v="208.21199999999999"/>
  </r>
  <r>
    <s v="CID174"/>
    <s v="Jodi"/>
    <s v="Whitney"/>
    <x v="2"/>
    <n v="33"/>
    <x v="2"/>
    <x v="2"/>
    <s v="jodi.whitney@yahoo.com"/>
    <s v="72876 Lara Key Suite 383, Gutierrezton, OR 71683"/>
    <s v="OID6945"/>
    <d v="2024-09-18T00:00:00"/>
    <x v="9"/>
    <s v="19:37:21"/>
    <x v="10"/>
    <n v="403.03"/>
    <n v="4"/>
    <n v="1612.12"/>
    <x v="2"/>
    <n v="161.21199999999999"/>
    <n v="1450.9079999999999"/>
    <n v="7"/>
    <n v="1515.9079999999999"/>
    <n v="65"/>
    <d v="2024-09-21T00:00:00"/>
    <s v="03:13:08"/>
    <n v="1677.12"/>
    <n v="3"/>
    <s v="BeforeTime"/>
    <n v="1612.12"/>
    <n v="0.1"/>
    <n v="161.21199999999999"/>
    <n v="226.21199999999999"/>
  </r>
  <r>
    <s v="CID186"/>
    <s v="Anne"/>
    <s v="Oconnell"/>
    <x v="40"/>
    <n v="37"/>
    <x v="1"/>
    <x v="0"/>
    <s v="anne.oconnell@outlook.com"/>
    <s v="2850 Matthew Ford, North Yolandachester, FL 67488"/>
    <s v="OID2497"/>
    <d v="2024-03-07T00:00:00"/>
    <x v="5"/>
    <s v="18:16:33"/>
    <x v="16"/>
    <n v="308.88"/>
    <n v="5"/>
    <n v="1544.4"/>
    <x v="1"/>
    <n v="123.55200000000001"/>
    <n v="1420.8480000000002"/>
    <n v="4"/>
    <n v="1480.8480000000002"/>
    <n v="60"/>
    <d v="2024-03-10T00:00:00"/>
    <s v="08:51:31"/>
    <n v="1604.4"/>
    <n v="3"/>
    <s v="BeforeTime"/>
    <n v="1544.4"/>
    <n v="0.08"/>
    <n v="123.55200000000001"/>
    <n v="183.55200000000002"/>
  </r>
  <r>
    <s v="CID115"/>
    <s v="Karl"/>
    <s v="Gallagher"/>
    <x v="20"/>
    <n v="60"/>
    <x v="2"/>
    <x v="0"/>
    <s v="karl.gallagher@rediffmail.com"/>
    <s v="5016 Snow Mountains Apt. 063, New Seanport, WY 41492"/>
    <s v="OID4105"/>
    <d v="2025-01-05T00:00:00"/>
    <x v="4"/>
    <s v="09:47:21"/>
    <x v="16"/>
    <n v="308.88"/>
    <n v="5"/>
    <n v="1544.4"/>
    <x v="0"/>
    <n v="308.88000000000005"/>
    <n v="1235.52"/>
    <n v="5"/>
    <n v="1282.52"/>
    <n v="47"/>
    <d v="2025-01-08T00:00:00"/>
    <s v="20:10:50"/>
    <n v="1591.4"/>
    <n v="3"/>
    <s v="BeforeTime"/>
    <n v="1544.4"/>
    <n v="0.2"/>
    <n v="308.88000000000005"/>
    <n v="355.88000000000005"/>
  </r>
  <r>
    <s v="CID139"/>
    <s v="Joseph"/>
    <s v="Gaines"/>
    <x v="41"/>
    <n v="47"/>
    <x v="2"/>
    <x v="4"/>
    <s v="joseph.gaines@outlook.com"/>
    <s v="37549 Pope Isle Apt. 202, Tylerborough, MO 60042"/>
    <s v="OID3570"/>
    <d v="2024-04-15T00:00:00"/>
    <x v="0"/>
    <s v="05:44:11"/>
    <x v="11"/>
    <n v="381.73"/>
    <n v="4"/>
    <n v="1526.92"/>
    <x v="2"/>
    <n v="152.69200000000001"/>
    <n v="1374.2280000000001"/>
    <n v="1"/>
    <n v="1440.2280000000001"/>
    <n v="66"/>
    <d v="2024-04-18T00:00:00"/>
    <s v="18:54:47"/>
    <n v="1592.92"/>
    <n v="3"/>
    <s v="Late"/>
    <n v="1526.92"/>
    <n v="0.1"/>
    <n v="152.69200000000001"/>
    <n v="218.69200000000001"/>
  </r>
  <r>
    <s v="CID162"/>
    <s v="Mark"/>
    <s v="Summers"/>
    <x v="7"/>
    <n v="55"/>
    <x v="0"/>
    <x v="5"/>
    <s v="mark.summers@outlook.com"/>
    <s v="08413 Lynch Parkway, Calderonstad, NV 32697"/>
    <s v="OID4815"/>
    <d v="2024-11-12T00:00:00"/>
    <x v="2"/>
    <s v="05:34:02"/>
    <x v="11"/>
    <n v="381.73"/>
    <n v="4"/>
    <n v="1526.92"/>
    <x v="1"/>
    <n v="122.15360000000001"/>
    <n v="1404.7664"/>
    <n v="2"/>
    <n v="1462.7664"/>
    <n v="58"/>
    <d v="2024-11-17T00:00:00"/>
    <s v="15:11:50"/>
    <n v="1584.92"/>
    <n v="5"/>
    <s v="Late"/>
    <n v="1526.92"/>
    <n v="0.08"/>
    <n v="122.15360000000001"/>
    <n v="180.15360000000001"/>
  </r>
  <r>
    <s v="CID182"/>
    <s v="John"/>
    <s v="Herrera"/>
    <x v="22"/>
    <n v="64"/>
    <x v="0"/>
    <x v="1"/>
    <s v="john.herrera@outlook.com"/>
    <s v="61263 Jacob Isle, Amandatown, TN 34321"/>
    <s v="OID5283"/>
    <d v="2024-07-15T00:00:00"/>
    <x v="6"/>
    <s v="18:43:17"/>
    <x v="12"/>
    <n v="372.62"/>
    <n v="4"/>
    <n v="1490.48"/>
    <x v="1"/>
    <n v="119.2384"/>
    <n v="1371.2416000000001"/>
    <n v="1"/>
    <n v="1416.2416000000001"/>
    <n v="45"/>
    <d v="2024-07-19T00:00:00"/>
    <s v="07:02:28"/>
    <n v="1535.48"/>
    <n v="4"/>
    <s v="Late"/>
    <n v="1490.48"/>
    <n v="0.08"/>
    <n v="119.2384"/>
    <n v="164.23840000000001"/>
  </r>
  <r>
    <s v="CID193"/>
    <s v="Ashley"/>
    <s v="Rose"/>
    <x v="42"/>
    <n v="60"/>
    <x v="2"/>
    <x v="0"/>
    <s v="ashley.rose@gmail.com"/>
    <s v="424 Nichols Curve Suite 177, Lake Brianview, TX 17289"/>
    <s v="OID5834"/>
    <d v="2023-03-11T00:00:00"/>
    <x v="5"/>
    <s v="15:54:45"/>
    <x v="12"/>
    <n v="372.62"/>
    <n v="4"/>
    <n v="1490.48"/>
    <x v="3"/>
    <n v="223.572"/>
    <n v="1266.9079999999999"/>
    <n v="2"/>
    <n v="1308.9079999999999"/>
    <n v="42"/>
    <d v="2023-03-16T00:00:00"/>
    <s v="19:22:50"/>
    <n v="1532.48"/>
    <n v="5"/>
    <s v="Late"/>
    <n v="1490.48"/>
    <n v="0.15"/>
    <n v="223.572"/>
    <n v="265.572"/>
  </r>
  <r>
    <s v="CID148"/>
    <s v="Erin"/>
    <s v="Miller"/>
    <x v="8"/>
    <n v="46"/>
    <x v="1"/>
    <x v="2"/>
    <s v="erin.miller@gmail.com"/>
    <s v="65972 Peterson Route, Port Andrewfurt, SD 32892"/>
    <s v="OID3921"/>
    <d v="2024-08-21T00:00:00"/>
    <x v="3"/>
    <s v="04:53:45"/>
    <x v="12"/>
    <n v="372.62"/>
    <n v="4"/>
    <n v="1490.48"/>
    <x v="1"/>
    <n v="119.2384"/>
    <n v="1371.2416000000001"/>
    <n v="3"/>
    <n v="1419.2416000000001"/>
    <n v="48"/>
    <d v="2024-08-26T00:00:00"/>
    <s v="05:48:22"/>
    <n v="1538.48"/>
    <n v="5"/>
    <s v="Late"/>
    <n v="1490.48"/>
    <n v="0.08"/>
    <n v="119.2384"/>
    <n v="167.23840000000001"/>
  </r>
  <r>
    <s v="CID133"/>
    <s v="Donna"/>
    <s v="Oneill"/>
    <x v="36"/>
    <n v="70"/>
    <x v="1"/>
    <x v="2"/>
    <s v="donna.oneill@yahoo.com"/>
    <s v="464 Carolyn Crest Suite 738, Lake Isaiah, CA 66153"/>
    <s v="OID4670"/>
    <d v="2023-08-13T00:00:00"/>
    <x v="3"/>
    <s v="17:27:33"/>
    <x v="0"/>
    <n v="496.59"/>
    <n v="3"/>
    <n v="1489.77"/>
    <x v="3"/>
    <n v="223.46549999999999"/>
    <n v="1266.3045"/>
    <n v="4"/>
    <n v="1315.3045"/>
    <n v="49"/>
    <d v="2023-08-14T00:00:00"/>
    <s v="15:28:39"/>
    <n v="1538.77"/>
    <n v="1"/>
    <s v="BeforeTime"/>
    <n v="1489.77"/>
    <n v="0.15"/>
    <n v="223.46549999999999"/>
    <n v="272.46550000000002"/>
  </r>
  <r>
    <s v="CID161"/>
    <s v="Heather"/>
    <s v="Schneider"/>
    <x v="43"/>
    <n v="48"/>
    <x v="0"/>
    <x v="6"/>
    <s v="heather.schneider@outlook.com"/>
    <s v="57940 Susan Creek Apt. 541, Port Aliciamouth, OR 90221"/>
    <s v="OID3556"/>
    <d v="2024-04-17T00:00:00"/>
    <x v="0"/>
    <s v="02:05:06"/>
    <x v="0"/>
    <n v="496.59"/>
    <n v="3"/>
    <n v="1489.77"/>
    <x v="4"/>
    <n v="0"/>
    <n v="1489.77"/>
    <n v="3"/>
    <n v="1538.77"/>
    <n v="49"/>
    <d v="2024-04-24T00:00:00"/>
    <s v="02:03:44"/>
    <n v="1538.77"/>
    <n v="7"/>
    <s v="Late"/>
    <n v="1489.77"/>
    <n v="0"/>
    <n v="0"/>
    <n v="0"/>
  </r>
  <r>
    <s v="CID175"/>
    <s v="Katherine"/>
    <s v="Weber"/>
    <x v="15"/>
    <n v="42"/>
    <x v="2"/>
    <x v="4"/>
    <s v="katherine.weber@outlook.com"/>
    <s v="04887 Kimberly Union Apt. 645, Port Laura, IL 97219"/>
    <s v="OID1046"/>
    <d v="2024-01-31T00:00:00"/>
    <x v="4"/>
    <s v="22:51:56"/>
    <x v="17"/>
    <n v="369.03"/>
    <n v="4"/>
    <n v="1476.12"/>
    <x v="0"/>
    <n v="295.22399999999999"/>
    <n v="1180.896"/>
    <n v="7"/>
    <n v="1232.896"/>
    <n v="52"/>
    <d v="2024-02-05T00:00:00"/>
    <s v="07:24:20"/>
    <n v="1528.12"/>
    <n v="5"/>
    <s v="BeforeTime"/>
    <n v="1476.12"/>
    <n v="0.2"/>
    <n v="295.22399999999999"/>
    <n v="347.22399999999999"/>
  </r>
  <r>
    <s v="CID118"/>
    <s v="Amy"/>
    <s v="Ellis"/>
    <x v="44"/>
    <n v="44"/>
    <x v="2"/>
    <x v="6"/>
    <s v="amy.ellis@gmail.com"/>
    <s v="217 Scott Ville, Christophermouth, NH 83776"/>
    <s v="OID8431"/>
    <d v="2024-11-29T00:00:00"/>
    <x v="2"/>
    <s v="23:41:08"/>
    <x v="17"/>
    <n v="369.03"/>
    <n v="4"/>
    <n v="1476.12"/>
    <x v="0"/>
    <n v="295.22399999999999"/>
    <n v="1180.896"/>
    <n v="4"/>
    <n v="1236.896"/>
    <n v="56"/>
    <d v="2024-12-04T00:00:00"/>
    <s v="01:56:42"/>
    <n v="1532.12"/>
    <n v="5"/>
    <s v="Late"/>
    <n v="1476.12"/>
    <n v="0.2"/>
    <n v="295.22399999999999"/>
    <n v="351.22399999999999"/>
  </r>
  <r>
    <s v="CID143"/>
    <s v="Kim"/>
    <s v="Blevins"/>
    <x v="45"/>
    <n v="65"/>
    <x v="0"/>
    <x v="6"/>
    <s v="kim.blevins@outlook.com"/>
    <s v="089 Rice Shoal Suite 491, Juarezmouth, MI 88715"/>
    <s v="OID8681"/>
    <d v="2023-08-27T00:00:00"/>
    <x v="3"/>
    <s v="18:32:14"/>
    <x v="17"/>
    <n v="369.03"/>
    <n v="4"/>
    <n v="1476.12"/>
    <x v="1"/>
    <n v="118.08959999999999"/>
    <n v="1358.0303999999999"/>
    <n v="3"/>
    <n v="1414.0303999999999"/>
    <n v="56"/>
    <d v="2023-08-31T00:00:00"/>
    <s v="06:09:27"/>
    <n v="1532.12"/>
    <n v="4"/>
    <s v="Late"/>
    <n v="1476.12"/>
    <n v="0.08"/>
    <n v="118.08959999999999"/>
    <n v="174.08959999999999"/>
  </r>
  <r>
    <s v="CID174"/>
    <s v="Jodi"/>
    <s v="Whitney"/>
    <x v="2"/>
    <n v="33"/>
    <x v="2"/>
    <x v="2"/>
    <s v="jodi.whitney@yahoo.com"/>
    <s v="72876 Lara Key Suite 383, Gutierrezton, OR 71683"/>
    <s v="OID8093"/>
    <d v="2024-12-02T00:00:00"/>
    <x v="7"/>
    <s v="15:43:42"/>
    <x v="17"/>
    <n v="369.03"/>
    <n v="4"/>
    <n v="1476.12"/>
    <x v="1"/>
    <n v="118.08959999999999"/>
    <n v="1358.0303999999999"/>
    <n v="5"/>
    <n v="1406.0303999999999"/>
    <n v="48"/>
    <d v="2024-12-03T00:00:00"/>
    <s v="15:41:25"/>
    <n v="1524.12"/>
    <n v="1"/>
    <s v="BeforeTime"/>
    <n v="1476.12"/>
    <n v="0.08"/>
    <n v="118.08959999999999"/>
    <n v="166.08959999999999"/>
  </r>
  <r>
    <s v="CID134"/>
    <s v="Debra"/>
    <s v="Hayes"/>
    <x v="46"/>
    <n v="33"/>
    <x v="1"/>
    <x v="2"/>
    <s v="debra.hayes@yahoo.com"/>
    <s v="4601 Miller Lock, Williamsbury, IA 10943"/>
    <s v="OID3134"/>
    <d v="2023-05-23T00:00:00"/>
    <x v="1"/>
    <s v="22:55:27"/>
    <x v="18"/>
    <n v="292.14999999999998"/>
    <n v="5"/>
    <n v="1460.75"/>
    <x v="2"/>
    <n v="146.07500000000002"/>
    <n v="1314.675"/>
    <n v="6"/>
    <n v="1382.675"/>
    <n v="68"/>
    <d v="2023-05-25T00:00:00"/>
    <s v="22:37:23"/>
    <n v="1528.75"/>
    <n v="2"/>
    <s v="BeforeTime"/>
    <n v="1460.75"/>
    <n v="0.1"/>
    <n v="146.07500000000002"/>
    <n v="214.07500000000002"/>
  </r>
  <r>
    <s v="CID115"/>
    <s v="Karl"/>
    <s v="Gallagher"/>
    <x v="20"/>
    <n v="60"/>
    <x v="2"/>
    <x v="0"/>
    <s v="karl.gallagher@rediffmail.com"/>
    <s v="5016 Snow Mountains Apt. 063, New Seanport, WY 41492"/>
    <s v="OID1905"/>
    <d v="2024-10-23T00:00:00"/>
    <x v="11"/>
    <s v="17:21:43"/>
    <x v="14"/>
    <n v="363.64"/>
    <n v="4"/>
    <n v="1454.56"/>
    <x v="4"/>
    <n v="0"/>
    <n v="1454.56"/>
    <n v="2"/>
    <n v="1489.56"/>
    <n v="35"/>
    <d v="2024-10-25T00:00:00"/>
    <s v="08:00:35"/>
    <n v="1489.56"/>
    <n v="2"/>
    <s v="Intime"/>
    <n v="1454.56"/>
    <n v="0"/>
    <n v="0"/>
    <n v="0"/>
  </r>
  <r>
    <s v="CID114"/>
    <s v="Lauren"/>
    <s v="Crane"/>
    <x v="3"/>
    <n v="62"/>
    <x v="0"/>
    <x v="1"/>
    <s v="lauren.crane@yahoo.com"/>
    <s v="30313 Reyes Parkways Suite 392, Port Bradley, SC 24078"/>
    <s v="OID5999"/>
    <d v="2023-07-09T00:00:00"/>
    <x v="6"/>
    <s v="17:44:01"/>
    <x v="14"/>
    <n v="363.64"/>
    <n v="4"/>
    <n v="1454.56"/>
    <x v="4"/>
    <n v="0"/>
    <n v="1454.56"/>
    <n v="6"/>
    <n v="1510.56"/>
    <n v="56"/>
    <d v="2023-07-14T00:00:00"/>
    <s v="16:03:33"/>
    <n v="1510.56"/>
    <n v="5"/>
    <s v="BeforeTime"/>
    <n v="1454.56"/>
    <n v="0"/>
    <n v="0"/>
    <n v="0"/>
  </r>
  <r>
    <s v="CID183"/>
    <s v="Troy"/>
    <s v="Gomez"/>
    <x v="47"/>
    <n v="68"/>
    <x v="1"/>
    <x v="3"/>
    <s v="troy.gomez@outlook.com"/>
    <s v="7510 Jose Knolls, Candicechester, LA 62815"/>
    <s v="OID4219"/>
    <d v="2024-09-01T00:00:00"/>
    <x v="9"/>
    <s v="08:03:37"/>
    <x v="14"/>
    <n v="363.64"/>
    <n v="4"/>
    <n v="1454.56"/>
    <x v="0"/>
    <n v="290.91199999999998"/>
    <n v="1163.6479999999999"/>
    <n v="2"/>
    <n v="1205.6479999999999"/>
    <n v="42"/>
    <d v="2024-09-05T00:00:00"/>
    <s v="13:50:58"/>
    <n v="1496.56"/>
    <n v="4"/>
    <s v="Late"/>
    <n v="1454.56"/>
    <n v="0.2"/>
    <n v="290.91199999999998"/>
    <n v="332.91199999999998"/>
  </r>
  <r>
    <s v="CID104"/>
    <s v="Gary"/>
    <s v="Huff"/>
    <x v="48"/>
    <n v="18"/>
    <x v="1"/>
    <x v="4"/>
    <s v="gary.huff@gmail.com"/>
    <s v="58608 Alexander Terrace, South Bryan, SC 85541"/>
    <s v="OID8585"/>
    <d v="2023-10-18T00:00:00"/>
    <x v="11"/>
    <s v="16:44:13"/>
    <x v="1"/>
    <n v="481.48"/>
    <n v="3"/>
    <n v="1444.44"/>
    <x v="2"/>
    <n v="144.44400000000002"/>
    <n v="1299.9960000000001"/>
    <n v="2"/>
    <n v="1341.9960000000001"/>
    <n v="42"/>
    <d v="2023-10-22T00:00:00"/>
    <s v="23:19:19"/>
    <n v="1486.44"/>
    <n v="4"/>
    <s v="Late"/>
    <n v="1444.44"/>
    <n v="0.1"/>
    <n v="144.44400000000002"/>
    <n v="186.44400000000002"/>
  </r>
  <r>
    <s v="CID181"/>
    <s v="Alexandra"/>
    <s v="Smith"/>
    <x v="4"/>
    <n v="70"/>
    <x v="1"/>
    <x v="0"/>
    <s v="alexandra.smith@rediffmail.com"/>
    <s v="48611 Clark Village, West Anne, GA 92865"/>
    <s v="OID9628"/>
    <d v="2024-06-12T00:00:00"/>
    <x v="8"/>
    <s v="06:20:30"/>
    <x v="1"/>
    <n v="481.48"/>
    <n v="3"/>
    <n v="1444.44"/>
    <x v="0"/>
    <n v="288.88800000000003"/>
    <n v="1155.5520000000001"/>
    <n v="5"/>
    <n v="1204.5520000000001"/>
    <n v="49"/>
    <d v="2024-06-19T00:00:00"/>
    <s v="20:45:00"/>
    <n v="1493.44"/>
    <n v="7"/>
    <s v="Late"/>
    <n v="1444.44"/>
    <n v="0.2"/>
    <n v="288.88800000000003"/>
    <n v="337.88800000000003"/>
  </r>
  <r>
    <s v="CID123"/>
    <s v="Christy"/>
    <s v="Chang"/>
    <x v="49"/>
    <n v="38"/>
    <x v="0"/>
    <x v="3"/>
    <s v="christy.chang@outlook.com"/>
    <s v="4647 Hannah Centers, Rhodesburgh, NH 89363"/>
    <s v="OID4481"/>
    <d v="2023-10-04T00:00:00"/>
    <x v="11"/>
    <s v="02:43:38"/>
    <x v="2"/>
    <n v="477.52"/>
    <n v="3"/>
    <n v="1432.56"/>
    <x v="1"/>
    <n v="114.6048"/>
    <n v="1317.9551999999999"/>
    <n v="7"/>
    <n v="1383.9551999999999"/>
    <n v="66"/>
    <d v="2023-10-09T00:00:00"/>
    <s v="02:45:47"/>
    <n v="1498.56"/>
    <n v="5"/>
    <s v="BeforeTime"/>
    <n v="1432.56"/>
    <n v="0.08"/>
    <n v="114.6048"/>
    <n v="180.60480000000001"/>
  </r>
  <r>
    <s v="CID131"/>
    <s v="Veronica"/>
    <s v="Lopez"/>
    <x v="27"/>
    <n v="18"/>
    <x v="0"/>
    <x v="3"/>
    <s v="veronica.lopez@gmail.com"/>
    <s v="660 Karen Station Apt. 887, Allenside, ID 03170"/>
    <s v="OID1966"/>
    <d v="2025-01-25T00:00:00"/>
    <x v="4"/>
    <s v="14:04:30"/>
    <x v="2"/>
    <n v="477.52"/>
    <n v="3"/>
    <n v="1432.56"/>
    <x v="0"/>
    <n v="286.512"/>
    <n v="1146.048"/>
    <n v="7"/>
    <n v="1187.048"/>
    <n v="41"/>
    <d v="2025-01-29T00:00:00"/>
    <s v="02:17:23"/>
    <n v="1473.56"/>
    <n v="4"/>
    <s v="BeforeTime"/>
    <n v="1432.56"/>
    <n v="0.2"/>
    <n v="286.512"/>
    <n v="327.512"/>
  </r>
  <r>
    <s v="CID176"/>
    <s v="Joshua"/>
    <s v="Campbell"/>
    <x v="50"/>
    <n v="24"/>
    <x v="1"/>
    <x v="5"/>
    <s v="joshua.campbell@gmail.com"/>
    <s v="70426 Lindsey Overpass Apt. 030, Jessicafurt, AR 46269"/>
    <s v="OID1269"/>
    <d v="2024-09-20T00:00:00"/>
    <x v="9"/>
    <s v="19:02:37"/>
    <x v="19"/>
    <n v="286.07"/>
    <n v="5"/>
    <n v="1430.35"/>
    <x v="3"/>
    <n v="214.55249999999998"/>
    <n v="1215.7974999999999"/>
    <n v="5"/>
    <n v="1280.7974999999999"/>
    <n v="65"/>
    <d v="2024-09-23T00:00:00"/>
    <s v="00:56:16"/>
    <n v="1495.35"/>
    <n v="3"/>
    <s v="BeforeTime"/>
    <n v="1430.35"/>
    <n v="0.15"/>
    <n v="214.55249999999998"/>
    <n v="279.55250000000001"/>
  </r>
  <r>
    <s v="CID188"/>
    <s v="Kristina"/>
    <s v="Haynes"/>
    <x v="51"/>
    <n v="27"/>
    <x v="1"/>
    <x v="1"/>
    <s v="kristina.haynes@yahoo.com"/>
    <s v="18295 Thomas River, Kochville, NH 80868"/>
    <s v="OID4368"/>
    <d v="2023-02-26T00:00:00"/>
    <x v="10"/>
    <s v="15:45:08"/>
    <x v="19"/>
    <n v="286.07"/>
    <n v="5"/>
    <n v="1430.35"/>
    <x v="0"/>
    <n v="286.07"/>
    <n v="1144.28"/>
    <n v="1"/>
    <n v="1196.28"/>
    <n v="52"/>
    <d v="2023-03-01T00:00:00"/>
    <s v="19:53:01"/>
    <n v="1482.35"/>
    <n v="3"/>
    <s v="Late"/>
    <n v="1430.35"/>
    <n v="0.2"/>
    <n v="286.07"/>
    <n v="338.07"/>
  </r>
  <r>
    <s v="CID158"/>
    <s v="Angela"/>
    <s v="Evans"/>
    <x v="52"/>
    <n v="52"/>
    <x v="2"/>
    <x v="1"/>
    <s v="angela.evans@outlook.com"/>
    <s v="16031 David Mountain Suite 431, Susanborough, PA 01910"/>
    <s v="OID7409"/>
    <d v="2024-04-15T00:00:00"/>
    <x v="0"/>
    <s v="02:54:23"/>
    <x v="19"/>
    <n v="286.07"/>
    <n v="5"/>
    <n v="1430.35"/>
    <x v="4"/>
    <n v="0"/>
    <n v="1430.35"/>
    <n v="1"/>
    <n v="1471.35"/>
    <n v="41"/>
    <d v="2024-04-22T00:00:00"/>
    <s v="18:15:03"/>
    <n v="1471.35"/>
    <n v="7"/>
    <s v="Late"/>
    <n v="1430.35"/>
    <n v="0"/>
    <n v="0"/>
    <n v="0"/>
  </r>
  <r>
    <s v="CID102"/>
    <s v="Jessica"/>
    <s v="Ruiz"/>
    <x v="17"/>
    <n v="19"/>
    <x v="0"/>
    <x v="4"/>
    <s v="jessica.ruiz@rediffmail.com"/>
    <s v="02370 Laura Station Suite 309, Brandonville, DE 18875"/>
    <s v="OID2944"/>
    <d v="2023-10-02T00:00:00"/>
    <x v="11"/>
    <s v="05:37:56"/>
    <x v="13"/>
    <n v="461.07"/>
    <n v="3"/>
    <n v="1383.21"/>
    <x v="2"/>
    <n v="138.321"/>
    <n v="1244.8890000000001"/>
    <n v="1"/>
    <n v="1305.8890000000001"/>
    <n v="61"/>
    <d v="2023-10-03T00:00:00"/>
    <s v="15:40:22"/>
    <n v="1444.21"/>
    <n v="1"/>
    <s v="Intime"/>
    <n v="1383.21"/>
    <n v="0.1"/>
    <n v="138.321"/>
    <n v="199.321"/>
  </r>
  <r>
    <s v="CID158"/>
    <s v="Angela"/>
    <s v="Evans"/>
    <x v="52"/>
    <n v="52"/>
    <x v="2"/>
    <x v="1"/>
    <s v="angela.evans@outlook.com"/>
    <s v="16031 David Mountain Suite 431, Susanborough, PA 01910"/>
    <s v="OID1779"/>
    <d v="2024-03-03T00:00:00"/>
    <x v="5"/>
    <s v="12:50:57"/>
    <x v="13"/>
    <n v="461.07"/>
    <n v="3"/>
    <n v="1383.21"/>
    <x v="3"/>
    <n v="207.48150000000001"/>
    <n v="1175.7284999999999"/>
    <n v="4"/>
    <n v="1229.7284999999999"/>
    <n v="54"/>
    <d v="2024-03-06T00:00:00"/>
    <s v="01:24:34"/>
    <n v="1437.21"/>
    <n v="3"/>
    <s v="BeforeTime"/>
    <n v="1383.21"/>
    <n v="0.15"/>
    <n v="207.48150000000001"/>
    <n v="261.48149999999998"/>
  </r>
  <r>
    <s v="CID171"/>
    <s v="Leslie"/>
    <s v="Montgomery"/>
    <x v="53"/>
    <n v="26"/>
    <x v="0"/>
    <x v="5"/>
    <s v="leslie.montgomery@gmail.com"/>
    <s v="135 Teresa Oval Apt. 825, East Katherineport, WY 13714"/>
    <s v="OID1866"/>
    <d v="2024-12-01T00:00:00"/>
    <x v="7"/>
    <s v="05:53:55"/>
    <x v="20"/>
    <n v="272.51"/>
    <n v="5"/>
    <n v="1362.55"/>
    <x v="2"/>
    <n v="136.255"/>
    <n v="1226.2950000000001"/>
    <n v="4"/>
    <n v="1271.2950000000001"/>
    <n v="45"/>
    <d v="2024-12-04T00:00:00"/>
    <s v="02:00:46"/>
    <n v="1407.55"/>
    <n v="3"/>
    <s v="BeforeTime"/>
    <n v="1362.55"/>
    <n v="0.1"/>
    <n v="136.255"/>
    <n v="181.255"/>
  </r>
  <r>
    <s v="CID167"/>
    <s v="Diana"/>
    <s v="French"/>
    <x v="29"/>
    <n v="54"/>
    <x v="0"/>
    <x v="4"/>
    <s v="diana.french@outlook.com"/>
    <s v="163 Jeffrey Drive, South Mary, NH 23999"/>
    <s v="OID3361"/>
    <d v="2024-03-30T00:00:00"/>
    <x v="5"/>
    <s v="09:50:05"/>
    <x v="20"/>
    <n v="272.51"/>
    <n v="5"/>
    <n v="1362.55"/>
    <x v="4"/>
    <n v="0"/>
    <n v="1362.55"/>
    <n v="3"/>
    <n v="1428.55"/>
    <n v="66"/>
    <d v="2024-04-06T00:00:00"/>
    <s v="23:38:57"/>
    <n v="1428.55"/>
    <n v="7"/>
    <s v="Late"/>
    <n v="1362.55"/>
    <n v="0"/>
    <n v="0"/>
    <n v="0"/>
  </r>
  <r>
    <s v="CID168"/>
    <s v="Deborah"/>
    <s v="Bates"/>
    <x v="54"/>
    <n v="23"/>
    <x v="1"/>
    <x v="6"/>
    <s v="deborah.bates@yahoo.com"/>
    <s v="278 Kathy Estate, Saraville, OH 77292"/>
    <s v="OID5190"/>
    <d v="2024-07-04T00:00:00"/>
    <x v="6"/>
    <s v="04:04:19"/>
    <x v="3"/>
    <n v="445.81"/>
    <n v="3"/>
    <n v="1337.43"/>
    <x v="1"/>
    <n v="106.99440000000001"/>
    <n v="1230.4356"/>
    <n v="1"/>
    <n v="1267.4356"/>
    <n v="37"/>
    <d v="2024-07-05T00:00:00"/>
    <s v="00:48:55"/>
    <n v="1374.43"/>
    <n v="1"/>
    <s v="Intime"/>
    <n v="1337.43"/>
    <n v="0.08"/>
    <n v="106.99440000000001"/>
    <n v="143.99440000000001"/>
  </r>
  <r>
    <s v="CID120"/>
    <s v="Jenny"/>
    <s v="Estrada"/>
    <x v="55"/>
    <n v="45"/>
    <x v="1"/>
    <x v="1"/>
    <s v="jenny.estrada@yahoo.com"/>
    <s v="792 Carlos Islands, West David, CT 16522"/>
    <s v="OID4056"/>
    <d v="2023-06-26T00:00:00"/>
    <x v="8"/>
    <s v="10:23:23"/>
    <x v="3"/>
    <n v="445.81"/>
    <n v="3"/>
    <n v="1337.43"/>
    <x v="0"/>
    <n v="267.48600000000005"/>
    <n v="1069.944"/>
    <n v="1"/>
    <n v="1127.944"/>
    <n v="58"/>
    <d v="2023-07-02T00:00:00"/>
    <s v="21:18:46"/>
    <n v="1395.43"/>
    <n v="6"/>
    <s v="Late"/>
    <n v="1337.43"/>
    <n v="0.2"/>
    <n v="267.48600000000005"/>
    <n v="325.48600000000005"/>
  </r>
  <r>
    <s v="CID117"/>
    <s v="Hannah"/>
    <s v="Gutierrez"/>
    <x v="38"/>
    <n v="55"/>
    <x v="0"/>
    <x v="5"/>
    <s v="hannah.gutierrez@yahoo.com"/>
    <s v="2420 David Manors, Jessicaland, CT 41698"/>
    <s v="OID2597"/>
    <d v="2024-06-27T00:00:00"/>
    <x v="8"/>
    <s v="14:11:09"/>
    <x v="4"/>
    <n v="441.03"/>
    <n v="3"/>
    <n v="1323.09"/>
    <x v="4"/>
    <n v="0"/>
    <n v="1323.09"/>
    <n v="4"/>
    <n v="1370.09"/>
    <n v="47"/>
    <d v="2024-06-30T00:00:00"/>
    <s v="00:33:26"/>
    <n v="1370.09"/>
    <n v="3"/>
    <s v="BeforeTime"/>
    <n v="1323.09"/>
    <n v="0"/>
    <n v="0"/>
    <n v="0"/>
  </r>
  <r>
    <s v="CID113"/>
    <s v="Brendan"/>
    <s v="Kelly"/>
    <x v="23"/>
    <n v="50"/>
    <x v="2"/>
    <x v="2"/>
    <s v="brendan.kelly@rediffmail.com"/>
    <s v="688 Donald Oval Suite 089, Shepardport, CA 50844"/>
    <s v="OID5130"/>
    <d v="2024-08-18T00:00:00"/>
    <x v="3"/>
    <s v="20:10:43"/>
    <x v="4"/>
    <n v="441.03"/>
    <n v="3"/>
    <n v="1323.09"/>
    <x v="0"/>
    <n v="264.61799999999999"/>
    <n v="1058.472"/>
    <n v="4"/>
    <n v="1098.472"/>
    <n v="40"/>
    <d v="2024-08-24T00:00:00"/>
    <s v="08:44:22"/>
    <n v="1363.09"/>
    <n v="6"/>
    <s v="Late"/>
    <n v="1323.09"/>
    <n v="0.2"/>
    <n v="264.61799999999999"/>
    <n v="304.61799999999999"/>
  </r>
  <r>
    <s v="CID159"/>
    <s v="Christine"/>
    <s v="West"/>
    <x v="56"/>
    <n v="53"/>
    <x v="2"/>
    <x v="4"/>
    <s v="christine.west@gmail.com"/>
    <s v="Unit 1433 Box 0246, DPO AP 94952"/>
    <s v="OID1483"/>
    <d v="2024-09-08T00:00:00"/>
    <x v="9"/>
    <s v="16:55:06"/>
    <x v="21"/>
    <n v="330.11"/>
    <n v="4"/>
    <n v="1320.44"/>
    <x v="3"/>
    <n v="198.066"/>
    <n v="1122.374"/>
    <n v="6"/>
    <n v="1161.374"/>
    <n v="39"/>
    <d v="2024-09-12T00:00:00"/>
    <s v="11:25:50"/>
    <n v="1359.44"/>
    <n v="4"/>
    <s v="BeforeTime"/>
    <n v="1320.44"/>
    <n v="0.15"/>
    <n v="198.066"/>
    <n v="237.066"/>
  </r>
  <r>
    <s v="CID176"/>
    <s v="Joshua"/>
    <s v="Campbell"/>
    <x v="50"/>
    <n v="24"/>
    <x v="1"/>
    <x v="5"/>
    <s v="joshua.campbell@gmail.com"/>
    <s v="70426 Lindsey Overpass Apt. 030, Jessicafurt, AR 46269"/>
    <s v="OID1911"/>
    <d v="2023-06-02T00:00:00"/>
    <x v="8"/>
    <s v="04:13:27"/>
    <x v="21"/>
    <n v="330.11"/>
    <n v="4"/>
    <n v="1320.44"/>
    <x v="4"/>
    <n v="0"/>
    <n v="1320.44"/>
    <n v="1"/>
    <n v="1378.44"/>
    <n v="58"/>
    <d v="2023-06-03T00:00:00"/>
    <s v="11:25:46"/>
    <n v="1378.44"/>
    <n v="1"/>
    <s v="Intime"/>
    <n v="1320.44"/>
    <n v="0"/>
    <n v="0"/>
    <n v="0"/>
  </r>
  <r>
    <s v="CID159"/>
    <s v="Christine"/>
    <s v="West"/>
    <x v="56"/>
    <n v="53"/>
    <x v="2"/>
    <x v="4"/>
    <s v="christine.west@gmail.com"/>
    <s v="Unit 1433 Box 0246, DPO AP 94952"/>
    <s v="OID4892"/>
    <d v="2024-09-26T00:00:00"/>
    <x v="9"/>
    <s v="05:57:45"/>
    <x v="21"/>
    <n v="330.11"/>
    <n v="4"/>
    <n v="1320.44"/>
    <x v="0"/>
    <n v="264.08800000000002"/>
    <n v="1056.3520000000001"/>
    <n v="4"/>
    <n v="1103.3520000000001"/>
    <n v="47"/>
    <d v="2024-10-01T00:00:00"/>
    <s v="08:04:55"/>
    <n v="1367.44"/>
    <n v="5"/>
    <s v="Late"/>
    <n v="1320.44"/>
    <n v="0.2"/>
    <n v="264.08800000000002"/>
    <n v="311.08800000000002"/>
  </r>
  <r>
    <s v="CID192"/>
    <s v="Brandon"/>
    <s v="Cruz"/>
    <x v="57"/>
    <n v="32"/>
    <x v="2"/>
    <x v="6"/>
    <s v="brandon.cruz@gmail.com"/>
    <s v="9296 Villanueva Branch, East Kevin, CO 93912"/>
    <s v="OID1826"/>
    <d v="2025-02-01T00:00:00"/>
    <x v="10"/>
    <s v="15:26:43"/>
    <x v="21"/>
    <n v="330.11"/>
    <n v="4"/>
    <n v="1320.44"/>
    <x v="0"/>
    <n v="264.08800000000002"/>
    <n v="1056.3520000000001"/>
    <n v="2"/>
    <n v="1125.3520000000001"/>
    <n v="69"/>
    <d v="2025-02-07T00:00:00"/>
    <s v="23:02:25"/>
    <n v="1389.44"/>
    <n v="6"/>
    <s v="Late"/>
    <n v="1320.44"/>
    <n v="0.2"/>
    <n v="264.08800000000002"/>
    <n v="333.08800000000002"/>
  </r>
  <r>
    <s v="CID123"/>
    <s v="Christy"/>
    <s v="Chang"/>
    <x v="49"/>
    <n v="38"/>
    <x v="0"/>
    <x v="3"/>
    <s v="christy.chang@outlook.com"/>
    <s v="4647 Hannah Centers, Rhodesburgh, NH 89363"/>
    <s v="OID6469"/>
    <d v="2024-07-23T00:00:00"/>
    <x v="6"/>
    <s v="06:59:53"/>
    <x v="15"/>
    <n v="433.62"/>
    <n v="3"/>
    <n v="1300.8600000000001"/>
    <x v="2"/>
    <n v="130.08600000000001"/>
    <n v="1170.7740000000001"/>
    <n v="2"/>
    <n v="1209.7740000000001"/>
    <n v="39"/>
    <d v="2024-07-26T00:00:00"/>
    <s v="21:07:49"/>
    <n v="1339.8600000000001"/>
    <n v="3"/>
    <s v="Late"/>
    <n v="1300.8600000000001"/>
    <n v="0.1"/>
    <n v="130.08600000000001"/>
    <n v="169.08600000000001"/>
  </r>
  <r>
    <s v="CID189"/>
    <s v="Christine"/>
    <s v="Aguilar"/>
    <x v="58"/>
    <n v="46"/>
    <x v="1"/>
    <x v="0"/>
    <s v="christine.aguilar@gmail.com"/>
    <s v="3284 Martin Neck, Lopezville, NY 69154"/>
    <s v="OID1169"/>
    <d v="2023-02-23T00:00:00"/>
    <x v="10"/>
    <s v="07:11:33"/>
    <x v="5"/>
    <n v="431.44"/>
    <n v="3"/>
    <n v="1294.32"/>
    <x v="1"/>
    <n v="103.54559999999999"/>
    <n v="1190.7744"/>
    <n v="6"/>
    <n v="1260.7744"/>
    <n v="70"/>
    <d v="2023-02-26T00:00:00"/>
    <s v="03:38:41"/>
    <n v="1364.32"/>
    <n v="3"/>
    <s v="BeforeTime"/>
    <n v="1294.32"/>
    <n v="0.08"/>
    <n v="103.54559999999999"/>
    <n v="173.54559999999998"/>
  </r>
  <r>
    <s v="CID122"/>
    <s v="Jared"/>
    <s v="Horn"/>
    <x v="59"/>
    <n v="43"/>
    <x v="1"/>
    <x v="7"/>
    <s v="jared.horn@outlook.com"/>
    <s v="43325 Barbara Tunnel, Port James, LA 16246"/>
    <s v="OID6975"/>
    <d v="2023-06-10T00:00:00"/>
    <x v="8"/>
    <s v="18:23:17"/>
    <x v="5"/>
    <n v="431.44"/>
    <n v="3"/>
    <n v="1294.32"/>
    <x v="3"/>
    <n v="194.148"/>
    <n v="1100.172"/>
    <n v="4"/>
    <n v="1158.172"/>
    <n v="58"/>
    <d v="2023-06-15T00:00:00"/>
    <s v="19:23:44"/>
    <n v="1352.32"/>
    <n v="5"/>
    <s v="Late"/>
    <n v="1294.32"/>
    <n v="0.15"/>
    <n v="194.148"/>
    <n v="252.148"/>
  </r>
  <r>
    <s v="CID135"/>
    <s v="Amanda"/>
    <s v="Howard"/>
    <x v="60"/>
    <n v="52"/>
    <x v="2"/>
    <x v="3"/>
    <s v="amanda.howard@outlook.com"/>
    <s v="56908 Sydney Park Suite 632, West Anthonyport, NC 15954"/>
    <s v="OID6373"/>
    <d v="2023-03-16T00:00:00"/>
    <x v="5"/>
    <s v="09:31:27"/>
    <x v="6"/>
    <n v="425.59"/>
    <n v="3"/>
    <n v="1276.77"/>
    <x v="1"/>
    <n v="102.1416"/>
    <n v="1174.6284000000001"/>
    <n v="7"/>
    <n v="1242.6284000000001"/>
    <n v="68"/>
    <d v="2023-03-20T00:00:00"/>
    <s v="22:18:21"/>
    <n v="1344.77"/>
    <n v="4"/>
    <s v="BeforeTime"/>
    <n v="1276.77"/>
    <n v="0.08"/>
    <n v="102.1416"/>
    <n v="170.14159999999998"/>
  </r>
  <r>
    <s v="CID127"/>
    <s v="Natasha"/>
    <s v="Michael"/>
    <x v="30"/>
    <n v="49"/>
    <x v="1"/>
    <x v="1"/>
    <s v="natasha.michael@gmail.com"/>
    <s v="78992 Justin Estates Suite 226, Floresberg, NM 40797"/>
    <s v="OID7102"/>
    <d v="2023-06-15T00:00:00"/>
    <x v="8"/>
    <s v="20:27:42"/>
    <x v="6"/>
    <n v="425.59"/>
    <n v="3"/>
    <n v="1276.77"/>
    <x v="1"/>
    <n v="102.1416"/>
    <n v="1174.6284000000001"/>
    <n v="6"/>
    <n v="1229.6284000000001"/>
    <n v="55"/>
    <d v="2023-06-22T00:00:00"/>
    <s v="10:15:00"/>
    <n v="1331.77"/>
    <n v="7"/>
    <s v="Late"/>
    <n v="1276.77"/>
    <n v="0.08"/>
    <n v="102.1416"/>
    <n v="157.14159999999998"/>
  </r>
  <r>
    <s v="CID196"/>
    <s v="Regina"/>
    <s v="Hawkins"/>
    <x v="61"/>
    <n v="47"/>
    <x v="0"/>
    <x v="0"/>
    <s v="regina.hawkins@rediffmail.com"/>
    <s v="096 Santos Neck Apt. 937, Benjaminmouth, FL 61454"/>
    <s v="OID1054"/>
    <d v="2024-02-05T00:00:00"/>
    <x v="10"/>
    <s v="13:31:33"/>
    <x v="6"/>
    <n v="425.59"/>
    <n v="3"/>
    <n v="1276.77"/>
    <x v="2"/>
    <n v="127.67700000000001"/>
    <n v="1149.0930000000001"/>
    <n v="7"/>
    <n v="1200.0930000000001"/>
    <n v="51"/>
    <d v="2024-02-08T00:00:00"/>
    <s v="02:03:42"/>
    <n v="1327.77"/>
    <n v="3"/>
    <s v="BeforeTime"/>
    <n v="1276.77"/>
    <n v="0.1"/>
    <n v="127.67700000000001"/>
    <n v="178.67700000000002"/>
  </r>
  <r>
    <s v="CID116"/>
    <s v="John"/>
    <s v="Ramirez"/>
    <x v="26"/>
    <n v="28"/>
    <x v="2"/>
    <x v="7"/>
    <s v="john.ramirez@outlook.com"/>
    <s v="02797 Martin Landing, South Michelle, VT 98781"/>
    <s v="OID4599"/>
    <d v="2023-10-14T00:00:00"/>
    <x v="11"/>
    <s v="23:40:15"/>
    <x v="7"/>
    <n v="424.82"/>
    <n v="3"/>
    <n v="1274.46"/>
    <x v="1"/>
    <n v="101.9568"/>
    <n v="1172.5032000000001"/>
    <n v="2"/>
    <n v="1239.5032000000001"/>
    <n v="67"/>
    <d v="2023-10-16T00:00:00"/>
    <s v="20:14:00"/>
    <n v="1341.46"/>
    <n v="2"/>
    <s v="Intime"/>
    <n v="1274.46"/>
    <n v="0.08"/>
    <n v="101.9568"/>
    <n v="168.95679999999999"/>
  </r>
  <r>
    <s v="CID113"/>
    <s v="Brendan"/>
    <s v="Kelly"/>
    <x v="23"/>
    <n v="50"/>
    <x v="2"/>
    <x v="2"/>
    <s v="brendan.kelly@rediffmail.com"/>
    <s v="688 Donald Oval Suite 089, Shepardport, CA 50844"/>
    <s v="OID8203"/>
    <d v="2024-07-08T00:00:00"/>
    <x v="6"/>
    <s v="12:54:20"/>
    <x v="7"/>
    <n v="424.82"/>
    <n v="3"/>
    <n v="1274.46"/>
    <x v="4"/>
    <n v="0"/>
    <n v="1274.46"/>
    <n v="3"/>
    <n v="1316.46"/>
    <n v="42"/>
    <d v="2024-07-09T00:00:00"/>
    <s v="17:32:38"/>
    <n v="1316.46"/>
    <n v="1"/>
    <s v="BeforeTime"/>
    <n v="1274.46"/>
    <n v="0"/>
    <n v="0"/>
    <n v="0"/>
  </r>
  <r>
    <s v="CID140"/>
    <s v="Beth"/>
    <s v="Mason"/>
    <x v="62"/>
    <n v="45"/>
    <x v="2"/>
    <x v="6"/>
    <s v="beth.mason@outlook.com"/>
    <s v="58998 Sherry Haven, East Richard, FL 90775"/>
    <s v="OID7090"/>
    <d v="2025-01-20T00:00:00"/>
    <x v="4"/>
    <s v="02:55:39"/>
    <x v="8"/>
    <n v="421.7"/>
    <n v="3"/>
    <n v="1265.0999999999999"/>
    <x v="2"/>
    <n v="126.50999999999999"/>
    <n v="1138.5899999999999"/>
    <n v="6"/>
    <n v="1176.5899999999999"/>
    <n v="38"/>
    <d v="2025-01-23T00:00:00"/>
    <s v="13:12:04"/>
    <n v="1303.0999999999999"/>
    <n v="3"/>
    <s v="BeforeTime"/>
    <n v="1265.0999999999999"/>
    <n v="0.1"/>
    <n v="126.50999999999999"/>
    <n v="164.51"/>
  </r>
  <r>
    <s v="CID162"/>
    <s v="Mark"/>
    <s v="Summers"/>
    <x v="7"/>
    <n v="55"/>
    <x v="0"/>
    <x v="5"/>
    <s v="mark.summers@outlook.com"/>
    <s v="08413 Lynch Parkway, Calderonstad, NV 32697"/>
    <s v="OID5671"/>
    <d v="2024-10-02T00:00:00"/>
    <x v="11"/>
    <s v="23:44:50"/>
    <x v="8"/>
    <n v="421.7"/>
    <n v="3"/>
    <n v="1265.0999999999999"/>
    <x v="1"/>
    <n v="101.208"/>
    <n v="1163.8919999999998"/>
    <n v="5"/>
    <n v="1217.8919999999998"/>
    <n v="54"/>
    <d v="2024-10-06T00:00:00"/>
    <s v="04:23:25"/>
    <n v="1319.1"/>
    <n v="4"/>
    <s v="BeforeTime"/>
    <n v="1265.0999999999999"/>
    <n v="0.08"/>
    <n v="101.208"/>
    <n v="155.208"/>
  </r>
  <r>
    <s v="CID181"/>
    <s v="Alexandra"/>
    <s v="Smith"/>
    <x v="4"/>
    <n v="70"/>
    <x v="1"/>
    <x v="0"/>
    <s v="alexandra.smith@rediffmail.com"/>
    <s v="48611 Clark Village, West Anne, GA 92865"/>
    <s v="OID2529"/>
    <d v="2023-09-03T00:00:00"/>
    <x v="9"/>
    <s v="14:35:39"/>
    <x v="8"/>
    <n v="421.7"/>
    <n v="3"/>
    <n v="1265.0999999999999"/>
    <x v="4"/>
    <n v="0"/>
    <n v="1265.0999999999999"/>
    <n v="3"/>
    <n v="1321.1"/>
    <n v="56"/>
    <d v="2023-09-08T00:00:00"/>
    <s v="17:37:51"/>
    <n v="1321.1"/>
    <n v="5"/>
    <s v="Late"/>
    <n v="1265.0999999999999"/>
    <n v="0"/>
    <n v="0"/>
    <n v="0"/>
  </r>
  <r>
    <s v="CID180"/>
    <s v="Thomas"/>
    <s v="Andersen"/>
    <x v="63"/>
    <n v="50"/>
    <x v="2"/>
    <x v="7"/>
    <s v="thomas.andersen@yahoo.com"/>
    <s v="480 Summers Lock Suite 819, Sarahborough, IA 59863"/>
    <s v="OID6254"/>
    <d v="2023-08-11T00:00:00"/>
    <x v="3"/>
    <s v="01:51:31"/>
    <x v="9"/>
    <n v="405"/>
    <n v="3"/>
    <n v="1215"/>
    <x v="2"/>
    <n v="121.5"/>
    <n v="1093.5"/>
    <n v="6"/>
    <n v="1129.5"/>
    <n v="36"/>
    <d v="2023-08-15T00:00:00"/>
    <s v="05:04:36"/>
    <n v="1251"/>
    <n v="4"/>
    <s v="BeforeTime"/>
    <n v="1215"/>
    <n v="0.1"/>
    <n v="121.5"/>
    <n v="157.5"/>
  </r>
  <r>
    <s v="CID168"/>
    <s v="Deborah"/>
    <s v="Bates"/>
    <x v="54"/>
    <n v="23"/>
    <x v="1"/>
    <x v="6"/>
    <s v="deborah.bates@yahoo.com"/>
    <s v="278 Kathy Estate, Saraville, OH 77292"/>
    <s v="OID4522"/>
    <d v="2024-03-22T00:00:00"/>
    <x v="5"/>
    <s v="00:44:05"/>
    <x v="9"/>
    <n v="405"/>
    <n v="3"/>
    <n v="1215"/>
    <x v="2"/>
    <n v="121.5"/>
    <n v="1093.5"/>
    <n v="5"/>
    <n v="1147.5"/>
    <n v="54"/>
    <d v="2024-03-28T00:00:00"/>
    <s v="19:29:03"/>
    <n v="1269"/>
    <n v="6"/>
    <s v="Late"/>
    <n v="1215"/>
    <n v="0.1"/>
    <n v="121.5"/>
    <n v="175.5"/>
  </r>
  <r>
    <s v="CID118"/>
    <s v="Amy"/>
    <s v="Ellis"/>
    <x v="44"/>
    <n v="44"/>
    <x v="2"/>
    <x v="6"/>
    <s v="amy.ellis@gmail.com"/>
    <s v="217 Scott Ville, Christophermouth, NH 83776"/>
    <s v="OID7432"/>
    <d v="2023-10-09T00:00:00"/>
    <x v="11"/>
    <s v="15:02:28"/>
    <x v="10"/>
    <n v="403.03"/>
    <n v="3"/>
    <n v="1209.0899999999999"/>
    <x v="3"/>
    <n v="181.36349999999999"/>
    <n v="1027.7265"/>
    <n v="4"/>
    <n v="1094.7265"/>
    <n v="67"/>
    <d v="2023-10-14T00:00:00"/>
    <s v="04:23:57"/>
    <n v="1276.0899999999999"/>
    <n v="5"/>
    <s v="Late"/>
    <n v="1209.0899999999999"/>
    <n v="0.15"/>
    <n v="181.36349999999999"/>
    <n v="248.36349999999999"/>
  </r>
  <r>
    <s v="CID174"/>
    <s v="Jodi"/>
    <s v="Whitney"/>
    <x v="2"/>
    <n v="33"/>
    <x v="2"/>
    <x v="2"/>
    <s v="jodi.whitney@yahoo.com"/>
    <s v="72876 Lara Key Suite 383, Gutierrezton, OR 71683"/>
    <s v="OID3490"/>
    <d v="2024-04-01T00:00:00"/>
    <x v="0"/>
    <s v="03:47:08"/>
    <x v="10"/>
    <n v="403.03"/>
    <n v="3"/>
    <n v="1209.0899999999999"/>
    <x v="3"/>
    <n v="181.36349999999999"/>
    <n v="1027.7265"/>
    <n v="5"/>
    <n v="1071.7265"/>
    <n v="44"/>
    <d v="2024-04-02T00:00:00"/>
    <s v="03:23:26"/>
    <n v="1253.0899999999999"/>
    <n v="1"/>
    <s v="BeforeTime"/>
    <n v="1209.0899999999999"/>
    <n v="0.15"/>
    <n v="181.36349999999999"/>
    <n v="225.36349999999999"/>
  </r>
  <r>
    <s v="CID192"/>
    <s v="Brandon"/>
    <s v="Cruz"/>
    <x v="57"/>
    <n v="32"/>
    <x v="2"/>
    <x v="6"/>
    <s v="brandon.cruz@gmail.com"/>
    <s v="9296 Villanueva Branch, East Kevin, CO 93912"/>
    <s v="OID5366"/>
    <d v="2023-07-18T00:00:00"/>
    <x v="6"/>
    <s v="02:56:50"/>
    <x v="22"/>
    <n v="235.63"/>
    <n v="5"/>
    <n v="1178.1500000000001"/>
    <x v="1"/>
    <n v="94.25200000000001"/>
    <n v="1083.8980000000001"/>
    <n v="4"/>
    <n v="1135.8980000000001"/>
    <n v="52"/>
    <d v="2023-07-22T00:00:00"/>
    <s v="05:26:37"/>
    <n v="1230.1500000000001"/>
    <n v="4"/>
    <s v="Intime"/>
    <n v="1178.1500000000001"/>
    <n v="0.08"/>
    <n v="94.25200000000001"/>
    <n v="146.25200000000001"/>
  </r>
  <r>
    <s v="CID118"/>
    <s v="Amy"/>
    <s v="Ellis"/>
    <x v="44"/>
    <n v="44"/>
    <x v="2"/>
    <x v="6"/>
    <s v="amy.ellis@gmail.com"/>
    <s v="217 Scott Ville, Christophermouth, NH 83776"/>
    <s v="OID3902"/>
    <d v="2023-07-02T00:00:00"/>
    <x v="6"/>
    <s v="10:10:51"/>
    <x v="22"/>
    <n v="235.63"/>
    <n v="5"/>
    <n v="1178.1500000000001"/>
    <x v="0"/>
    <n v="235.63000000000002"/>
    <n v="942.5200000000001"/>
    <n v="6"/>
    <n v="1005.5200000000001"/>
    <n v="63"/>
    <d v="2023-07-07T00:00:00"/>
    <s v="02:58:17"/>
    <n v="1241.1500000000001"/>
    <n v="5"/>
    <s v="BeforeTime"/>
    <n v="1178.1500000000001"/>
    <n v="0.2"/>
    <n v="235.63000000000002"/>
    <n v="298.63"/>
  </r>
  <r>
    <s v="CID195"/>
    <s v="Sarah"/>
    <s v="Butler"/>
    <x v="64"/>
    <n v="64"/>
    <x v="1"/>
    <x v="0"/>
    <s v="sarah.butler@rediffmail.com"/>
    <s v="14131 Edwin Shore Apt. 190, Deniseberg, MD 90905"/>
    <s v="OID9804"/>
    <d v="2024-10-11T00:00:00"/>
    <x v="11"/>
    <s v="19:56:54"/>
    <x v="18"/>
    <n v="292.14999999999998"/>
    <n v="4"/>
    <n v="1168.5999999999999"/>
    <x v="0"/>
    <n v="233.72"/>
    <n v="934.87999999999988"/>
    <n v="1"/>
    <n v="992.87999999999988"/>
    <n v="58"/>
    <d v="2024-10-12T00:00:00"/>
    <s v="02:22:56"/>
    <n v="1226.5999999999999"/>
    <n v="1"/>
    <s v="Intime"/>
    <n v="1168.5999999999999"/>
    <n v="0.2"/>
    <n v="233.72"/>
    <n v="291.72000000000003"/>
  </r>
  <r>
    <s v="CID161"/>
    <s v="Heather"/>
    <s v="Schneider"/>
    <x v="43"/>
    <n v="48"/>
    <x v="0"/>
    <x v="6"/>
    <s v="heather.schneider@outlook.com"/>
    <s v="57940 Susan Creek Apt. 541, Port Aliciamouth, OR 90221"/>
    <s v="OID2270"/>
    <d v="2024-11-20T00:00:00"/>
    <x v="2"/>
    <s v="22:27:32"/>
    <x v="23"/>
    <n v="282.63"/>
    <n v="4"/>
    <n v="1130.52"/>
    <x v="2"/>
    <n v="113.05200000000001"/>
    <n v="1017.468"/>
    <n v="1"/>
    <n v="1077.4679999999998"/>
    <n v="60"/>
    <d v="2024-11-22T00:00:00"/>
    <s v="22:31:13"/>
    <n v="1190.52"/>
    <n v="2"/>
    <s v="Late"/>
    <n v="1130.52"/>
    <n v="0.1"/>
    <n v="113.05200000000001"/>
    <n v="173.05200000000002"/>
  </r>
  <r>
    <s v="CID195"/>
    <s v="Sarah"/>
    <s v="Butler"/>
    <x v="64"/>
    <n v="64"/>
    <x v="1"/>
    <x v="0"/>
    <s v="sarah.butler@rediffmail.com"/>
    <s v="14131 Edwin Shore Apt. 190, Deniseberg, MD 90905"/>
    <s v="OID4569"/>
    <d v="2023-09-19T00:00:00"/>
    <x v="9"/>
    <s v="00:49:15"/>
    <x v="23"/>
    <n v="282.63"/>
    <n v="4"/>
    <n v="1130.52"/>
    <x v="2"/>
    <n v="113.05200000000001"/>
    <n v="1017.468"/>
    <n v="3"/>
    <n v="1069.4679999999998"/>
    <n v="52"/>
    <d v="2023-09-22T00:00:00"/>
    <s v="07:05:22"/>
    <n v="1182.52"/>
    <n v="3"/>
    <s v="Intime"/>
    <n v="1130.52"/>
    <n v="0.1"/>
    <n v="113.05200000000001"/>
    <n v="165.05200000000002"/>
  </r>
  <r>
    <s v="CID127"/>
    <s v="Natasha"/>
    <s v="Michael"/>
    <x v="30"/>
    <n v="49"/>
    <x v="1"/>
    <x v="1"/>
    <s v="natasha.michael@gmail.com"/>
    <s v="78992 Justin Estates Suite 226, Floresberg, NM 40797"/>
    <s v="OID1756"/>
    <d v="2023-07-15T00:00:00"/>
    <x v="6"/>
    <s v="10:58:30"/>
    <x v="23"/>
    <n v="282.63"/>
    <n v="4"/>
    <n v="1130.52"/>
    <x v="2"/>
    <n v="113.05200000000001"/>
    <n v="1017.468"/>
    <n v="1"/>
    <n v="1065.4679999999998"/>
    <n v="48"/>
    <d v="2023-07-18T00:00:00"/>
    <s v="13:36:46"/>
    <n v="1178.52"/>
    <n v="3"/>
    <s v="Late"/>
    <n v="1130.52"/>
    <n v="0.1"/>
    <n v="113.05200000000001"/>
    <n v="161.05200000000002"/>
  </r>
  <r>
    <s v="CID149"/>
    <s v="Angela"/>
    <s v="Horne"/>
    <x v="65"/>
    <n v="49"/>
    <x v="2"/>
    <x v="0"/>
    <s v="angela.horne@outlook.com"/>
    <s v="USNV Mueller, FPO AP 54648"/>
    <s v="OID8577"/>
    <d v="2024-09-22T00:00:00"/>
    <x v="9"/>
    <s v="00:47:19"/>
    <x v="12"/>
    <n v="372.62"/>
    <n v="3"/>
    <n v="1117.8600000000001"/>
    <x v="1"/>
    <n v="89.42880000000001"/>
    <n v="1028.4312000000002"/>
    <n v="3"/>
    <n v="1087.4312000000002"/>
    <n v="59"/>
    <d v="2024-09-29T00:00:00"/>
    <s v="11:25:58"/>
    <n v="1176.8600000000001"/>
    <n v="7"/>
    <s v="Late"/>
    <n v="1117.8600000000001"/>
    <n v="0.08"/>
    <n v="89.42880000000001"/>
    <n v="148.42880000000002"/>
  </r>
  <r>
    <s v="CID178"/>
    <s v="Amy"/>
    <s v="Reid"/>
    <x v="34"/>
    <n v="44"/>
    <x v="0"/>
    <x v="6"/>
    <s v="amy.reid@rediffmail.com"/>
    <s v="6262 Simpson Village, North Danielle, RI 76074"/>
    <s v="OID7688"/>
    <d v="2024-10-03T00:00:00"/>
    <x v="11"/>
    <s v="12:37:23"/>
    <x v="12"/>
    <n v="372.62"/>
    <n v="3"/>
    <n v="1117.8600000000001"/>
    <x v="1"/>
    <n v="89.42880000000001"/>
    <n v="1028.4312000000002"/>
    <n v="1"/>
    <n v="1080.4312000000002"/>
    <n v="52"/>
    <d v="2024-10-10T00:00:00"/>
    <s v="09:02:09"/>
    <n v="1169.8600000000001"/>
    <n v="7"/>
    <s v="Late"/>
    <n v="1117.8600000000001"/>
    <n v="0.08"/>
    <n v="89.42880000000001"/>
    <n v="141.42880000000002"/>
  </r>
  <r>
    <s v="CID182"/>
    <s v="John"/>
    <s v="Herrera"/>
    <x v="22"/>
    <n v="64"/>
    <x v="0"/>
    <x v="1"/>
    <s v="john.herrera@outlook.com"/>
    <s v="61263 Jacob Isle, Amandatown, TN 34321"/>
    <s v="OID4659"/>
    <d v="2024-02-29T00:00:00"/>
    <x v="10"/>
    <s v="00:57:26"/>
    <x v="12"/>
    <n v="372.62"/>
    <n v="3"/>
    <n v="1117.8600000000001"/>
    <x v="4"/>
    <n v="0"/>
    <n v="1117.8600000000001"/>
    <n v="5"/>
    <n v="1171.8600000000001"/>
    <n v="54"/>
    <d v="2024-03-01T00:00:00"/>
    <s v="23:16:52"/>
    <n v="1171.8600000000001"/>
    <n v="1"/>
    <s v="BeforeTime"/>
    <n v="1117.8600000000001"/>
    <n v="0"/>
    <n v="0"/>
    <n v="0"/>
  </r>
  <r>
    <s v="CID162"/>
    <s v="Mark"/>
    <s v="Summers"/>
    <x v="7"/>
    <n v="55"/>
    <x v="0"/>
    <x v="5"/>
    <s v="mark.summers@outlook.com"/>
    <s v="08413 Lynch Parkway, Calderonstad, NV 32697"/>
    <s v="OID5372"/>
    <d v="2024-04-26T00:00:00"/>
    <x v="0"/>
    <s v="21:25:23"/>
    <x v="17"/>
    <n v="369.03"/>
    <n v="3"/>
    <n v="1107.0899999999999"/>
    <x v="0"/>
    <n v="221.41800000000001"/>
    <n v="885.67199999999991"/>
    <n v="2"/>
    <n v="950.67199999999991"/>
    <n v="65"/>
    <d v="2024-04-30T00:00:00"/>
    <s v="15:58:45"/>
    <n v="1172.0899999999999"/>
    <n v="4"/>
    <s v="Late"/>
    <n v="1107.0899999999999"/>
    <n v="0.2"/>
    <n v="221.41800000000001"/>
    <n v="286.41800000000001"/>
  </r>
  <r>
    <s v="CID102"/>
    <s v="Jessica"/>
    <s v="Ruiz"/>
    <x v="17"/>
    <n v="19"/>
    <x v="0"/>
    <x v="4"/>
    <s v="jessica.ruiz@rediffmail.com"/>
    <s v="02370 Laura Station Suite 309, Brandonville, DE 18875"/>
    <s v="OID1246"/>
    <d v="2023-05-03T00:00:00"/>
    <x v="1"/>
    <s v="05:06:18"/>
    <x v="17"/>
    <n v="369.03"/>
    <n v="3"/>
    <n v="1107.0899999999999"/>
    <x v="1"/>
    <n v="88.5672"/>
    <n v="1018.5228"/>
    <n v="6"/>
    <n v="1068.5228"/>
    <n v="50"/>
    <d v="2023-05-06T00:00:00"/>
    <s v="20:00:01"/>
    <n v="1157.0899999999999"/>
    <n v="3"/>
    <s v="BeforeTime"/>
    <n v="1107.0899999999999"/>
    <n v="0.08"/>
    <n v="88.5672"/>
    <n v="138.56720000000001"/>
  </r>
  <r>
    <s v="CID114"/>
    <s v="Lauren"/>
    <s v="Crane"/>
    <x v="3"/>
    <n v="62"/>
    <x v="0"/>
    <x v="1"/>
    <s v="lauren.crane@yahoo.com"/>
    <s v="30313 Reyes Parkways Suite 392, Port Bradley, SC 24078"/>
    <s v="OID2099"/>
    <d v="2024-06-16T00:00:00"/>
    <x v="8"/>
    <s v="09:19:53"/>
    <x v="17"/>
    <n v="369.03"/>
    <n v="3"/>
    <n v="1107.0899999999999"/>
    <x v="1"/>
    <n v="88.5672"/>
    <n v="1018.5228"/>
    <n v="6"/>
    <n v="1075.5228"/>
    <n v="57"/>
    <d v="2024-06-18T00:00:00"/>
    <s v="14:30:24"/>
    <n v="1164.0899999999999"/>
    <n v="2"/>
    <s v="BeforeTime"/>
    <n v="1107.0899999999999"/>
    <n v="0.08"/>
    <n v="88.5672"/>
    <n v="145.56720000000001"/>
  </r>
  <r>
    <s v="CID136"/>
    <s v="Brittany"/>
    <s v="Stewart"/>
    <x v="33"/>
    <n v="68"/>
    <x v="2"/>
    <x v="3"/>
    <s v="brittany.stewart@gmail.com"/>
    <s v="6250 David Loaf Suite 561, North Pamelaberg, WV 63652"/>
    <s v="OID4875"/>
    <d v="2023-03-17T00:00:00"/>
    <x v="5"/>
    <s v="18:25:37"/>
    <x v="24"/>
    <n v="275.44"/>
    <n v="4"/>
    <n v="1101.76"/>
    <x v="1"/>
    <n v="88.140799999999999"/>
    <n v="1013.6192"/>
    <n v="4"/>
    <n v="1053.6192000000001"/>
    <n v="40"/>
    <d v="2023-03-22T00:00:00"/>
    <s v="15:52:25"/>
    <n v="1141.76"/>
    <n v="5"/>
    <s v="Late"/>
    <n v="1101.76"/>
    <n v="0.08"/>
    <n v="88.140799999999999"/>
    <n v="128.14080000000001"/>
  </r>
  <r>
    <s v="CID141"/>
    <s v="Megan"/>
    <s v="Hunt"/>
    <x v="66"/>
    <n v="63"/>
    <x v="1"/>
    <x v="2"/>
    <s v="megan.hunt@rediffmail.com"/>
    <s v="03765 Velazquez Knoll Suite 478, Richardshire, UT 17200"/>
    <s v="OID6973"/>
    <d v="2023-06-30T00:00:00"/>
    <x v="8"/>
    <s v="04:03:12"/>
    <x v="25"/>
    <n v="220.27"/>
    <n v="5"/>
    <n v="1101.3500000000001"/>
    <x v="0"/>
    <n v="220.27000000000004"/>
    <n v="881.08000000000015"/>
    <n v="6"/>
    <n v="938.08000000000015"/>
    <n v="57"/>
    <d v="2023-07-02T00:00:00"/>
    <s v="13:27:06"/>
    <n v="1158.3500000000001"/>
    <n v="2"/>
    <s v="BeforeTime"/>
    <n v="1101.3500000000001"/>
    <n v="0.2"/>
    <n v="220.27000000000004"/>
    <n v="277.27000000000004"/>
  </r>
  <r>
    <s v="CID198"/>
    <s v="David"/>
    <s v="Delacruz"/>
    <x v="67"/>
    <n v="26"/>
    <x v="0"/>
    <x v="6"/>
    <s v="david.delacruz@rediffmail.com"/>
    <s v="USNS Ray, FPO AE 20238"/>
    <s v="OID4372"/>
    <d v="2024-06-16T00:00:00"/>
    <x v="8"/>
    <s v="19:27:45"/>
    <x v="14"/>
    <n v="363.64"/>
    <n v="3"/>
    <n v="1090.92"/>
    <x v="2"/>
    <n v="109.09200000000001"/>
    <n v="981.82800000000009"/>
    <n v="2"/>
    <n v="1051.828"/>
    <n v="70"/>
    <d v="2024-06-21T00:00:00"/>
    <s v="12:36:32"/>
    <n v="1160.92"/>
    <n v="5"/>
    <s v="Late"/>
    <n v="1090.92"/>
    <n v="0.1"/>
    <n v="109.09200000000001"/>
    <n v="179.09200000000001"/>
  </r>
  <r>
    <s v="CID101"/>
    <s v="Bobby"/>
    <s v="Forbes"/>
    <x v="68"/>
    <n v="20"/>
    <x v="1"/>
    <x v="6"/>
    <s v="bobby.forbes@gmail.com"/>
    <s v="3079 John Parkway Suite 961, Port Kristaview, MT 91019"/>
    <s v="OID4295"/>
    <d v="2023-09-16T00:00:00"/>
    <x v="9"/>
    <s v="18:58:15"/>
    <x v="14"/>
    <n v="363.64"/>
    <n v="3"/>
    <n v="1090.92"/>
    <x v="0"/>
    <n v="218.18400000000003"/>
    <n v="872.7360000000001"/>
    <n v="5"/>
    <n v="911.7360000000001"/>
    <n v="39"/>
    <d v="2023-09-20T00:00:00"/>
    <s v="02:21:23"/>
    <n v="1129.92"/>
    <n v="4"/>
    <s v="BeforeTime"/>
    <n v="1090.92"/>
    <n v="0.2"/>
    <n v="218.18400000000003"/>
    <n v="257.18400000000003"/>
  </r>
  <r>
    <s v="CID129"/>
    <s v="Rebecca"/>
    <s v="Figueroa"/>
    <x v="69"/>
    <n v="63"/>
    <x v="1"/>
    <x v="7"/>
    <s v="rebecca.figueroa@outlook.com"/>
    <s v="3959 Bell Dale, North Jacob, LA 07934"/>
    <s v="OID8169"/>
    <d v="2024-12-29T00:00:00"/>
    <x v="7"/>
    <s v="09:43:27"/>
    <x v="14"/>
    <n v="363.64"/>
    <n v="3"/>
    <n v="1090.92"/>
    <x v="2"/>
    <n v="109.09200000000001"/>
    <n v="981.82800000000009"/>
    <n v="6"/>
    <n v="1050.828"/>
    <n v="69"/>
    <d v="2025-01-05T00:00:00"/>
    <s v="00:00:42"/>
    <n v="1159.92"/>
    <n v="7"/>
    <s v="Late"/>
    <n v="1090.92"/>
    <n v="0.1"/>
    <n v="109.09200000000001"/>
    <n v="178.09200000000001"/>
  </r>
  <r>
    <s v="CID108"/>
    <s v="Teresa"/>
    <s v="Harvey"/>
    <x v="70"/>
    <n v="64"/>
    <x v="2"/>
    <x v="0"/>
    <s v="teresa.harvey@gmail.com"/>
    <s v="02669 Kirk Squares, Davisville, VA 51272"/>
    <s v="OID8542"/>
    <d v="2024-06-16T00:00:00"/>
    <x v="8"/>
    <s v="03:04:26"/>
    <x v="14"/>
    <n v="363.64"/>
    <n v="3"/>
    <n v="1090.92"/>
    <x v="4"/>
    <n v="0"/>
    <n v="1090.92"/>
    <n v="7"/>
    <n v="1131.92"/>
    <n v="41"/>
    <d v="2024-06-18T00:00:00"/>
    <s v="16:05:07"/>
    <n v="1131.92"/>
    <n v="2"/>
    <s v="BeforeTime"/>
    <n v="1090.92"/>
    <n v="0"/>
    <n v="0"/>
    <n v="0"/>
  </r>
  <r>
    <s v="CID192"/>
    <s v="Brandon"/>
    <s v="Cruz"/>
    <x v="57"/>
    <n v="32"/>
    <x v="2"/>
    <x v="6"/>
    <s v="brandon.cruz@gmail.com"/>
    <s v="9296 Villanueva Branch, East Kevin, CO 93912"/>
    <s v="OID6607"/>
    <d v="2024-06-12T00:00:00"/>
    <x v="8"/>
    <s v="16:25:28"/>
    <x v="14"/>
    <n v="363.64"/>
    <n v="3"/>
    <n v="1090.92"/>
    <x v="4"/>
    <n v="0"/>
    <n v="1090.92"/>
    <n v="3"/>
    <n v="1160.92"/>
    <n v="70"/>
    <d v="2024-06-18T00:00:00"/>
    <s v="13:33:22"/>
    <n v="1160.92"/>
    <n v="6"/>
    <s v="Late"/>
    <n v="1090.92"/>
    <n v="0"/>
    <n v="0"/>
    <n v="0"/>
  </r>
  <r>
    <s v="CID175"/>
    <s v="Katherine"/>
    <s v="Weber"/>
    <x v="15"/>
    <n v="42"/>
    <x v="2"/>
    <x v="4"/>
    <s v="katherine.weber@outlook.com"/>
    <s v="04887 Kimberly Union Apt. 645, Port Laura, IL 97219"/>
    <s v="OID1086"/>
    <d v="2024-07-22T00:00:00"/>
    <x v="6"/>
    <s v="20:01:38"/>
    <x v="14"/>
    <n v="363.64"/>
    <n v="3"/>
    <n v="1090.92"/>
    <x v="1"/>
    <n v="87.273600000000002"/>
    <n v="1003.6464000000001"/>
    <n v="5"/>
    <n v="1056.6464000000001"/>
    <n v="53"/>
    <d v="2024-07-29T00:00:00"/>
    <s v="12:58:48"/>
    <n v="1143.92"/>
    <n v="7"/>
    <s v="Late"/>
    <n v="1090.92"/>
    <n v="0.08"/>
    <n v="87.273600000000002"/>
    <n v="140.27359999999999"/>
  </r>
  <r>
    <s v="CID191"/>
    <s v="Lauren"/>
    <s v="Long"/>
    <x v="5"/>
    <n v="44"/>
    <x v="1"/>
    <x v="3"/>
    <s v="lauren.long@gmail.com"/>
    <s v="258 Michael Brooks Suite 363, Arnoldview, PA 49438"/>
    <s v="OID4101"/>
    <d v="2024-04-08T00:00:00"/>
    <x v="0"/>
    <s v="10:38:44"/>
    <x v="14"/>
    <n v="363.64"/>
    <n v="3"/>
    <n v="1090.92"/>
    <x v="3"/>
    <n v="163.63800000000001"/>
    <n v="927.28200000000004"/>
    <n v="1"/>
    <n v="974.28200000000004"/>
    <n v="47"/>
    <d v="2024-04-13T00:00:00"/>
    <s v="15:48:50"/>
    <n v="1137.92"/>
    <n v="5"/>
    <s v="Late"/>
    <n v="1090.92"/>
    <n v="0.15"/>
    <n v="163.63800000000001"/>
    <n v="210.63800000000001"/>
  </r>
  <r>
    <s v="CID144"/>
    <s v="William"/>
    <s v="Mann"/>
    <x v="71"/>
    <n v="21"/>
    <x v="1"/>
    <x v="1"/>
    <s v="william.mann@yahoo.com"/>
    <s v="849 Tran Wells, New Lindsayville, WI 22669"/>
    <s v="OID2704"/>
    <d v="2024-10-13T00:00:00"/>
    <x v="11"/>
    <s v="08:44:39"/>
    <x v="14"/>
    <n v="363.64"/>
    <n v="3"/>
    <n v="1090.92"/>
    <x v="0"/>
    <n v="218.18400000000003"/>
    <n v="872.7360000000001"/>
    <n v="6"/>
    <n v="936.7360000000001"/>
    <n v="64"/>
    <d v="2024-10-20T00:00:00"/>
    <s v="13:35:45"/>
    <n v="1154.92"/>
    <n v="7"/>
    <s v="Late"/>
    <n v="1090.92"/>
    <n v="0.2"/>
    <n v="218.18400000000003"/>
    <n v="282.18400000000003"/>
  </r>
  <r>
    <s v="CID148"/>
    <s v="Erin"/>
    <s v="Miller"/>
    <x v="8"/>
    <n v="46"/>
    <x v="1"/>
    <x v="2"/>
    <s v="erin.miller@gmail.com"/>
    <s v="65972 Peterson Route, Port Andrewfurt, SD 32892"/>
    <s v="OID6520"/>
    <d v="2023-02-09T00:00:00"/>
    <x v="10"/>
    <s v="23:53:21"/>
    <x v="20"/>
    <n v="272.51"/>
    <n v="4"/>
    <n v="1090.04"/>
    <x v="2"/>
    <n v="109.004"/>
    <n v="981.03599999999994"/>
    <n v="5"/>
    <n v="1021.0359999999999"/>
    <n v="40"/>
    <d v="2023-02-13T00:00:00"/>
    <s v="12:55:59"/>
    <n v="1130.04"/>
    <n v="4"/>
    <s v="BeforeTime"/>
    <n v="1090.04"/>
    <n v="0.1"/>
    <n v="109.004"/>
    <n v="149.00400000000002"/>
  </r>
  <r>
    <s v="CID103"/>
    <s v="Jason"/>
    <s v="Nguyen"/>
    <x v="24"/>
    <n v="51"/>
    <x v="2"/>
    <x v="7"/>
    <s v="jason.nguyen@yahoo.com"/>
    <s v="7112 Travis Glens Suite 790, Crystalland, WV 38373"/>
    <s v="OID4402"/>
    <d v="2024-11-02T00:00:00"/>
    <x v="2"/>
    <s v="22:18:21"/>
    <x v="20"/>
    <n v="272.51"/>
    <n v="4"/>
    <n v="1090.04"/>
    <x v="4"/>
    <n v="0"/>
    <n v="1090.04"/>
    <n v="2"/>
    <n v="1132.04"/>
    <n v="42"/>
    <d v="2024-11-03T00:00:00"/>
    <s v="12:35:14"/>
    <n v="1132.04"/>
    <n v="1"/>
    <s v="BeforeTime"/>
    <n v="1090.04"/>
    <n v="0"/>
    <n v="0"/>
    <n v="0"/>
  </r>
  <r>
    <s v="CID127"/>
    <s v="Natasha"/>
    <s v="Michael"/>
    <x v="30"/>
    <n v="49"/>
    <x v="1"/>
    <x v="1"/>
    <s v="natasha.michael@gmail.com"/>
    <s v="78992 Justin Estates Suite 226, Floresberg, NM 40797"/>
    <s v="OID4465"/>
    <d v="2024-07-05T00:00:00"/>
    <x v="6"/>
    <s v="08:11:19"/>
    <x v="20"/>
    <n v="272.51"/>
    <n v="4"/>
    <n v="1090.04"/>
    <x v="4"/>
    <n v="0"/>
    <n v="1090.04"/>
    <n v="1"/>
    <n v="1141.04"/>
    <n v="51"/>
    <d v="2024-07-07T00:00:00"/>
    <s v="18:28:53"/>
    <n v="1141.04"/>
    <n v="2"/>
    <s v="Late"/>
    <n v="1090.04"/>
    <n v="0"/>
    <n v="0"/>
    <n v="0"/>
  </r>
  <r>
    <s v="CID189"/>
    <s v="Christine"/>
    <s v="Aguilar"/>
    <x v="58"/>
    <n v="46"/>
    <x v="1"/>
    <x v="0"/>
    <s v="christine.aguilar@gmail.com"/>
    <s v="3284 Martin Neck, Lopezville, NY 69154"/>
    <s v="OID8295"/>
    <d v="2024-07-08T00:00:00"/>
    <x v="6"/>
    <s v="08:00:47"/>
    <x v="20"/>
    <n v="272.51"/>
    <n v="4"/>
    <n v="1090.04"/>
    <x v="4"/>
    <n v="0"/>
    <n v="1090.04"/>
    <n v="7"/>
    <n v="1128.04"/>
    <n v="38"/>
    <d v="2024-07-09T00:00:00"/>
    <s v="17:20:58"/>
    <n v="1128.04"/>
    <n v="1"/>
    <s v="BeforeTime"/>
    <n v="1090.04"/>
    <n v="0"/>
    <n v="0"/>
    <n v="0"/>
  </r>
  <r>
    <s v="CID174"/>
    <s v="Jodi"/>
    <s v="Whitney"/>
    <x v="2"/>
    <n v="33"/>
    <x v="2"/>
    <x v="2"/>
    <s v="jodi.whitney@yahoo.com"/>
    <s v="72876 Lara Key Suite 383, Gutierrezton, OR 71683"/>
    <s v="OID3574"/>
    <d v="2025-01-20T00:00:00"/>
    <x v="4"/>
    <s v="22:42:24"/>
    <x v="20"/>
    <n v="272.51"/>
    <n v="4"/>
    <n v="1090.04"/>
    <x v="0"/>
    <n v="218.00800000000001"/>
    <n v="872.03199999999993"/>
    <n v="6"/>
    <n v="911.03199999999993"/>
    <n v="39"/>
    <d v="2025-01-22T00:00:00"/>
    <s v="19:19:52"/>
    <n v="1129.04"/>
    <n v="2"/>
    <s v="BeforeTime"/>
    <n v="1090.04"/>
    <n v="0.2"/>
    <n v="218.00800000000001"/>
    <n v="257.00800000000004"/>
  </r>
  <r>
    <s v="CID153"/>
    <s v="Mitchell"/>
    <s v="Parker"/>
    <x v="39"/>
    <n v="39"/>
    <x v="2"/>
    <x v="1"/>
    <s v="mitchell.parker@yahoo.com"/>
    <s v="PSC 3316, Box 9303, APO AE 29513"/>
    <s v="OID7359"/>
    <d v="2024-04-15T00:00:00"/>
    <x v="0"/>
    <s v="14:16:13"/>
    <x v="26"/>
    <n v="257.06"/>
    <n v="4"/>
    <n v="1028.24"/>
    <x v="0"/>
    <n v="205.64800000000002"/>
    <n v="822.59199999999998"/>
    <n v="3"/>
    <n v="872.59199999999998"/>
    <n v="50"/>
    <d v="2024-04-19T00:00:00"/>
    <s v="11:54:49"/>
    <n v="1078.24"/>
    <n v="4"/>
    <s v="Late"/>
    <n v="1028.24"/>
    <n v="0.2"/>
    <n v="205.64800000000002"/>
    <n v="255.64800000000002"/>
  </r>
  <r>
    <s v="CID125"/>
    <s v="Kelli"/>
    <s v="Smith"/>
    <x v="72"/>
    <n v="18"/>
    <x v="0"/>
    <x v="1"/>
    <s v="kelli.smith@rediffmail.com"/>
    <s v="788 Kristina Lane, Montoyaside, VA 90756"/>
    <s v="OID9515"/>
    <d v="2023-04-07T00:00:00"/>
    <x v="0"/>
    <s v="13:06:48"/>
    <x v="26"/>
    <n v="257.06"/>
    <n v="4"/>
    <n v="1028.24"/>
    <x v="2"/>
    <n v="102.82400000000001"/>
    <n v="925.41599999999994"/>
    <n v="1"/>
    <n v="990.41599999999994"/>
    <n v="65"/>
    <d v="2023-04-09T00:00:00"/>
    <s v="01:22:23"/>
    <n v="1093.24"/>
    <n v="2"/>
    <s v="Late"/>
    <n v="1028.24"/>
    <n v="0.1"/>
    <n v="102.82400000000001"/>
    <n v="167.82400000000001"/>
  </r>
  <r>
    <s v="CID188"/>
    <s v="Kristina"/>
    <s v="Haynes"/>
    <x v="51"/>
    <n v="27"/>
    <x v="1"/>
    <x v="1"/>
    <s v="kristina.haynes@yahoo.com"/>
    <s v="18295 Thomas River, Kochville, NH 80868"/>
    <s v="OID9267"/>
    <d v="2023-07-25T00:00:00"/>
    <x v="6"/>
    <s v="05:33:41"/>
    <x v="26"/>
    <n v="257.06"/>
    <n v="4"/>
    <n v="1028.24"/>
    <x v="4"/>
    <n v="0"/>
    <n v="1028.24"/>
    <n v="5"/>
    <n v="1080.24"/>
    <n v="52"/>
    <d v="2023-07-29T00:00:00"/>
    <s v="13:20:58"/>
    <n v="1080.24"/>
    <n v="4"/>
    <s v="BeforeTime"/>
    <n v="1028.24"/>
    <n v="0"/>
    <n v="0"/>
    <n v="0"/>
  </r>
  <r>
    <s v="CID165"/>
    <s v="Mary"/>
    <s v="Knight"/>
    <x v="6"/>
    <n v="28"/>
    <x v="2"/>
    <x v="4"/>
    <s v="mary.knight@yahoo.com"/>
    <s v="907 Kimberly Hill, Murrayfort, NH 88384"/>
    <s v="OID4169"/>
    <d v="2024-11-04T00:00:00"/>
    <x v="2"/>
    <s v="11:52:12"/>
    <x v="26"/>
    <n v="257.06"/>
    <n v="4"/>
    <n v="1028.24"/>
    <x v="2"/>
    <n v="102.82400000000001"/>
    <n v="925.41599999999994"/>
    <n v="6"/>
    <n v="994.41599999999994"/>
    <n v="69"/>
    <d v="2024-11-07T00:00:00"/>
    <s v="23:25:32"/>
    <n v="1097.24"/>
    <n v="3"/>
    <s v="BeforeTime"/>
    <n v="1028.24"/>
    <n v="0.1"/>
    <n v="102.82400000000001"/>
    <n v="171.82400000000001"/>
  </r>
  <r>
    <s v="CID101"/>
    <s v="Bobby"/>
    <s v="Forbes"/>
    <x v="68"/>
    <n v="20"/>
    <x v="1"/>
    <x v="6"/>
    <s v="bobby.forbes@gmail.com"/>
    <s v="3079 John Parkway Suite 961, Port Kristaview, MT 91019"/>
    <s v="OID8270"/>
    <d v="2023-08-18T00:00:00"/>
    <x v="3"/>
    <s v="03:53:04"/>
    <x v="27"/>
    <n v="202.54"/>
    <n v="5"/>
    <n v="1012.6999999999999"/>
    <x v="1"/>
    <n v="81.015999999999991"/>
    <n v="931.68399999999997"/>
    <n v="2"/>
    <n v="999.68399999999997"/>
    <n v="68"/>
    <d v="2023-08-21T00:00:00"/>
    <s v="15:27:26"/>
    <n v="1080.6999999999998"/>
    <n v="3"/>
    <s v="Late"/>
    <n v="1012.6999999999999"/>
    <n v="0.08"/>
    <n v="81.015999999999991"/>
    <n v="149.01599999999999"/>
  </r>
  <r>
    <s v="CID181"/>
    <s v="Alexandra"/>
    <s v="Smith"/>
    <x v="4"/>
    <n v="70"/>
    <x v="1"/>
    <x v="0"/>
    <s v="alexandra.smith@rediffmail.com"/>
    <s v="48611 Clark Village, West Anne, GA 92865"/>
    <s v="OID3421"/>
    <d v="2023-04-29T00:00:00"/>
    <x v="0"/>
    <s v="22:25:26"/>
    <x v="27"/>
    <n v="202.54"/>
    <n v="5"/>
    <n v="1012.6999999999999"/>
    <x v="3"/>
    <n v="151.90499999999997"/>
    <n v="860.79499999999996"/>
    <n v="1"/>
    <n v="907.79499999999996"/>
    <n v="47"/>
    <d v="2023-05-05T00:00:00"/>
    <s v="20:52:06"/>
    <n v="1059.6999999999998"/>
    <n v="6"/>
    <s v="Late"/>
    <n v="1012.6999999999999"/>
    <n v="0.15"/>
    <n v="151.90499999999997"/>
    <n v="198.90499999999997"/>
  </r>
  <r>
    <s v="CID196"/>
    <s v="Regina"/>
    <s v="Hawkins"/>
    <x v="61"/>
    <n v="47"/>
    <x v="0"/>
    <x v="0"/>
    <s v="regina.hawkins@rediffmail.com"/>
    <s v="096 Santos Neck Apt. 937, Benjaminmouth, FL 61454"/>
    <s v="OID8486"/>
    <d v="2023-10-17T00:00:00"/>
    <x v="11"/>
    <s v="00:38:36"/>
    <x v="27"/>
    <n v="202.54"/>
    <n v="5"/>
    <n v="1012.6999999999999"/>
    <x v="2"/>
    <n v="101.27"/>
    <n v="911.43"/>
    <n v="4"/>
    <n v="969.43"/>
    <n v="58"/>
    <d v="2023-10-19T00:00:00"/>
    <s v="20:13:27"/>
    <n v="1070.6999999999998"/>
    <n v="2"/>
    <s v="BeforeTime"/>
    <n v="1012.6999999999999"/>
    <n v="0.1"/>
    <n v="101.27"/>
    <n v="159.26999999999998"/>
  </r>
  <r>
    <s v="CID192"/>
    <s v="Brandon"/>
    <s v="Cruz"/>
    <x v="57"/>
    <n v="32"/>
    <x v="2"/>
    <x v="6"/>
    <s v="brandon.cruz@gmail.com"/>
    <s v="9296 Villanueva Branch, East Kevin, CO 93912"/>
    <s v="OID1157"/>
    <d v="2024-10-21T00:00:00"/>
    <x v="11"/>
    <s v="15:26:04"/>
    <x v="0"/>
    <n v="496.59"/>
    <n v="2"/>
    <n v="993.18"/>
    <x v="1"/>
    <n v="79.454399999999993"/>
    <n v="913.72559999999999"/>
    <n v="5"/>
    <n v="954.72559999999999"/>
    <n v="41"/>
    <d v="2024-10-23T00:00:00"/>
    <s v="08:17:58"/>
    <n v="1034.1799999999998"/>
    <n v="2"/>
    <s v="BeforeTime"/>
    <n v="993.18"/>
    <n v="0.08"/>
    <n v="79.454399999999993"/>
    <n v="120.45439999999999"/>
  </r>
  <r>
    <s v="CID100"/>
    <s v="Sharon"/>
    <s v="Thompson"/>
    <x v="73"/>
    <n v="57"/>
    <x v="0"/>
    <x v="3"/>
    <s v="sharon.thompson@yahoo.com"/>
    <s v="598 Jasmine Harbor, Turnerberg, SD 02371"/>
    <s v="OID8988"/>
    <d v="2024-10-30T00:00:00"/>
    <x v="11"/>
    <s v="07:05:58"/>
    <x v="0"/>
    <n v="496.59"/>
    <n v="2"/>
    <n v="993.18"/>
    <x v="2"/>
    <n v="99.317999999999998"/>
    <n v="893.86199999999997"/>
    <n v="1"/>
    <n v="939.86199999999997"/>
    <n v="46"/>
    <d v="2024-11-02T00:00:00"/>
    <s v="17:13:41"/>
    <n v="1039.1799999999998"/>
    <n v="3"/>
    <s v="Late"/>
    <n v="993.18"/>
    <n v="0.1"/>
    <n v="99.317999999999998"/>
    <n v="145.31799999999998"/>
  </r>
  <r>
    <s v="CID140"/>
    <s v="Beth"/>
    <s v="Mason"/>
    <x v="62"/>
    <n v="45"/>
    <x v="2"/>
    <x v="6"/>
    <s v="beth.mason@outlook.com"/>
    <s v="58998 Sherry Haven, East Richard, FL 90775"/>
    <s v="OID5272"/>
    <d v="2025-01-08T00:00:00"/>
    <x v="4"/>
    <s v="12:57:10"/>
    <x v="0"/>
    <n v="496.59"/>
    <n v="2"/>
    <n v="993.18"/>
    <x v="4"/>
    <n v="0"/>
    <n v="993.18"/>
    <n v="5"/>
    <n v="1033.1799999999998"/>
    <n v="40"/>
    <d v="2025-01-10T00:00:00"/>
    <s v="19:04:22"/>
    <n v="1033.1799999999998"/>
    <n v="2"/>
    <s v="BeforeTime"/>
    <n v="993.18"/>
    <n v="0"/>
    <n v="0"/>
    <n v="0"/>
  </r>
  <r>
    <s v="CID134"/>
    <s v="Debra"/>
    <s v="Hayes"/>
    <x v="46"/>
    <n v="33"/>
    <x v="1"/>
    <x v="2"/>
    <s v="debra.hayes@yahoo.com"/>
    <s v="4601 Miller Lock, Williamsbury, IA 10943"/>
    <s v="OID6217"/>
    <d v="2024-02-08T00:00:00"/>
    <x v="10"/>
    <s v="15:45:02"/>
    <x v="0"/>
    <n v="496.59"/>
    <n v="2"/>
    <n v="993.18"/>
    <x v="2"/>
    <n v="99.317999999999998"/>
    <n v="893.86199999999997"/>
    <n v="5"/>
    <n v="933.86199999999997"/>
    <n v="40"/>
    <d v="2024-02-09T00:00:00"/>
    <s v="19:16:06"/>
    <n v="1033.1799999999998"/>
    <n v="1"/>
    <s v="BeforeTime"/>
    <n v="993.18"/>
    <n v="0.1"/>
    <n v="99.317999999999998"/>
    <n v="139.31799999999998"/>
  </r>
  <r>
    <s v="CID138"/>
    <s v="Mike"/>
    <s v="Carter"/>
    <x v="74"/>
    <n v="59"/>
    <x v="2"/>
    <x v="2"/>
    <s v="mike.carter@rediffmail.com"/>
    <s v="3971 Ortiz Fields, Lake Jackfort, IA 97132"/>
    <s v="OID4580"/>
    <d v="2024-08-23T00:00:00"/>
    <x v="3"/>
    <s v="02:56:56"/>
    <x v="0"/>
    <n v="496.59"/>
    <n v="2"/>
    <n v="993.18"/>
    <x v="1"/>
    <n v="79.454399999999993"/>
    <n v="913.72559999999999"/>
    <n v="3"/>
    <n v="968.72559999999999"/>
    <n v="55"/>
    <d v="2024-08-24T00:00:00"/>
    <s v="11:28:09"/>
    <n v="1048.1799999999998"/>
    <n v="1"/>
    <s v="BeforeTime"/>
    <n v="993.18"/>
    <n v="0.08"/>
    <n v="79.454399999999993"/>
    <n v="134.45439999999999"/>
  </r>
  <r>
    <s v="CID182"/>
    <s v="John"/>
    <s v="Herrera"/>
    <x v="22"/>
    <n v="64"/>
    <x v="0"/>
    <x v="1"/>
    <s v="john.herrera@outlook.com"/>
    <s v="61263 Jacob Isle, Amandatown, TN 34321"/>
    <s v="OID5081"/>
    <d v="2023-09-14T00:00:00"/>
    <x v="9"/>
    <s v="21:43:03"/>
    <x v="21"/>
    <n v="330.11"/>
    <n v="3"/>
    <n v="990.33"/>
    <x v="3"/>
    <n v="148.54949999999999"/>
    <n v="841.78050000000007"/>
    <n v="3"/>
    <n v="906.78050000000007"/>
    <n v="65"/>
    <d v="2023-09-17T00:00:00"/>
    <s v="01:29:42"/>
    <n v="1055.33"/>
    <n v="3"/>
    <s v="Intime"/>
    <n v="990.33"/>
    <n v="0.15"/>
    <n v="148.54949999999999"/>
    <n v="213.54949999999999"/>
  </r>
  <r>
    <s v="CID162"/>
    <s v="Mark"/>
    <s v="Summers"/>
    <x v="7"/>
    <n v="55"/>
    <x v="0"/>
    <x v="5"/>
    <s v="mark.summers@outlook.com"/>
    <s v="08413 Lynch Parkway, Calderonstad, NV 32697"/>
    <s v="OID8741"/>
    <d v="2023-09-17T00:00:00"/>
    <x v="9"/>
    <s v="23:25:51"/>
    <x v="21"/>
    <n v="330.11"/>
    <n v="3"/>
    <n v="990.33"/>
    <x v="1"/>
    <n v="79.226399999999998"/>
    <n v="911.10360000000003"/>
    <n v="2"/>
    <n v="951.10360000000003"/>
    <n v="40"/>
    <d v="2023-09-22T00:00:00"/>
    <s v="09:03:16"/>
    <n v="1030.33"/>
    <n v="5"/>
    <s v="Late"/>
    <n v="990.33"/>
    <n v="0.08"/>
    <n v="79.226399999999998"/>
    <n v="119.2264"/>
  </r>
  <r>
    <s v="CID109"/>
    <s v="Rachael"/>
    <s v="Robinson"/>
    <x v="75"/>
    <n v="24"/>
    <x v="2"/>
    <x v="3"/>
    <s v="rachael.robinson@rediffmail.com"/>
    <s v="0889 Brady Points, Port Meganhaven, NM 26553"/>
    <s v="OID6410"/>
    <d v="2023-07-06T00:00:00"/>
    <x v="6"/>
    <s v="06:38:04"/>
    <x v="21"/>
    <n v="330.11"/>
    <n v="3"/>
    <n v="990.33"/>
    <x v="3"/>
    <n v="148.54949999999999"/>
    <n v="841.78050000000007"/>
    <n v="2"/>
    <n v="897.78050000000007"/>
    <n v="56"/>
    <d v="2023-07-10T00:00:00"/>
    <s v="08:13:41"/>
    <n v="1046.33"/>
    <n v="4"/>
    <s v="Late"/>
    <n v="990.33"/>
    <n v="0.15"/>
    <n v="148.54949999999999"/>
    <n v="204.54949999999999"/>
  </r>
  <r>
    <s v="CID150"/>
    <s v="Anthony"/>
    <s v="Thomas"/>
    <x v="76"/>
    <n v="53"/>
    <x v="0"/>
    <x v="1"/>
    <s v="anthony.thomas@rediffmail.com"/>
    <s v="931 Christopher Ways Suite 833, North Michelle, IN 53484"/>
    <s v="OID7518"/>
    <d v="2023-05-30T00:00:00"/>
    <x v="1"/>
    <s v="11:55:04"/>
    <x v="21"/>
    <n v="330.11"/>
    <n v="3"/>
    <n v="990.33"/>
    <x v="0"/>
    <n v="198.06600000000003"/>
    <n v="792.26400000000001"/>
    <n v="7"/>
    <n v="832.26400000000001"/>
    <n v="40"/>
    <d v="2023-06-03T00:00:00"/>
    <s v="05:45:33"/>
    <n v="1030.33"/>
    <n v="4"/>
    <s v="BeforeTime"/>
    <n v="990.33"/>
    <n v="0.2"/>
    <n v="198.06600000000003"/>
    <n v="238.06600000000003"/>
  </r>
  <r>
    <s v="CID120"/>
    <s v="Jenny"/>
    <s v="Estrada"/>
    <x v="55"/>
    <n v="45"/>
    <x v="1"/>
    <x v="1"/>
    <s v="jenny.estrada@yahoo.com"/>
    <s v="792 Carlos Islands, West David, CT 16522"/>
    <s v="OID4411"/>
    <d v="2023-09-24T00:00:00"/>
    <x v="9"/>
    <s v="23:34:14"/>
    <x v="1"/>
    <n v="481.48"/>
    <n v="2"/>
    <n v="962.96"/>
    <x v="3"/>
    <n v="144.44399999999999"/>
    <n v="818.51600000000008"/>
    <n v="3"/>
    <n v="868.51600000000008"/>
    <n v="50"/>
    <d v="2023-09-27T00:00:00"/>
    <s v="16:46:20"/>
    <n v="1012.96"/>
    <n v="3"/>
    <s v="Intime"/>
    <n v="962.96"/>
    <n v="0.15"/>
    <n v="144.44399999999999"/>
    <n v="194.44399999999999"/>
  </r>
  <r>
    <s v="CID170"/>
    <s v="Bruce"/>
    <s v="Allen"/>
    <x v="0"/>
    <n v="32"/>
    <x v="0"/>
    <x v="0"/>
    <s v="bruce.allen@rediffmail.com"/>
    <s v="2417 Brown Ford, West Timothyside, RI 45629"/>
    <s v="OID8680"/>
    <d v="2025-01-19T00:00:00"/>
    <x v="4"/>
    <s v="14:47:52"/>
    <x v="1"/>
    <n v="481.48"/>
    <n v="2"/>
    <n v="962.96"/>
    <x v="0"/>
    <n v="192.59200000000001"/>
    <n v="770.36800000000005"/>
    <n v="3"/>
    <n v="828.36800000000005"/>
    <n v="58"/>
    <d v="2025-01-26T00:00:00"/>
    <s v="17:06:11"/>
    <n v="1020.96"/>
    <n v="7"/>
    <s v="Late"/>
    <n v="962.96"/>
    <n v="0.2"/>
    <n v="192.59200000000001"/>
    <n v="250.59200000000001"/>
  </r>
  <r>
    <s v="CID172"/>
    <s v="Kara"/>
    <s v="Brennan"/>
    <x v="77"/>
    <n v="25"/>
    <x v="2"/>
    <x v="7"/>
    <s v="kara.brennan@outlook.com"/>
    <s v="2174 Thomas Avenue, Maciasborough, NJ 41465"/>
    <s v="OID9756"/>
    <d v="2023-10-12T00:00:00"/>
    <x v="11"/>
    <s v="06:46:07"/>
    <x v="1"/>
    <n v="481.48"/>
    <n v="2"/>
    <n v="962.96"/>
    <x v="2"/>
    <n v="96.296000000000006"/>
    <n v="866.66399999999999"/>
    <n v="7"/>
    <n v="932.66399999999999"/>
    <n v="66"/>
    <d v="2023-10-19T00:00:00"/>
    <s v="19:17:45"/>
    <n v="1028.96"/>
    <n v="7"/>
    <s v="Intime"/>
    <n v="962.96"/>
    <n v="0.1"/>
    <n v="96.296000000000006"/>
    <n v="162.29599999999999"/>
  </r>
  <r>
    <s v="CID196"/>
    <s v="Regina"/>
    <s v="Hawkins"/>
    <x v="61"/>
    <n v="47"/>
    <x v="0"/>
    <x v="0"/>
    <s v="regina.hawkins@rediffmail.com"/>
    <s v="096 Santos Neck Apt. 937, Benjaminmouth, FL 61454"/>
    <s v="OID2383"/>
    <d v="2023-03-30T00:00:00"/>
    <x v="5"/>
    <s v="04:44:42"/>
    <x v="1"/>
    <n v="481.48"/>
    <n v="2"/>
    <n v="962.96"/>
    <x v="4"/>
    <n v="0"/>
    <n v="962.96"/>
    <n v="5"/>
    <n v="1007.96"/>
    <n v="45"/>
    <d v="2023-04-01T00:00:00"/>
    <s v="02:15:04"/>
    <n v="1007.96"/>
    <n v="2"/>
    <s v="BeforeTime"/>
    <n v="962.96"/>
    <n v="0"/>
    <n v="0"/>
    <n v="0"/>
  </r>
  <r>
    <s v="CID184"/>
    <s v="Aaron"/>
    <s v="Thompson"/>
    <x v="9"/>
    <n v="47"/>
    <x v="0"/>
    <x v="6"/>
    <s v="aaron.thompson@gmail.com"/>
    <s v="PSC 0550, Box 2737, APO AE 75772"/>
    <s v="OID2157"/>
    <d v="2025-01-26T00:00:00"/>
    <x v="4"/>
    <s v="23:24:39"/>
    <x v="2"/>
    <n v="477.52"/>
    <n v="2"/>
    <n v="955.04"/>
    <x v="1"/>
    <n v="76.403199999999998"/>
    <n v="878.63679999999999"/>
    <n v="6"/>
    <n v="933.63679999999999"/>
    <n v="55"/>
    <d v="2025-01-28T00:00:00"/>
    <s v="01:07:36"/>
    <n v="1010.04"/>
    <n v="2"/>
    <s v="BeforeTime"/>
    <n v="955.04"/>
    <n v="0.08"/>
    <n v="76.403199999999998"/>
    <n v="131.4032"/>
  </r>
  <r>
    <s v="CID132"/>
    <s v="Timothy"/>
    <s v="Hicks"/>
    <x v="78"/>
    <n v="31"/>
    <x v="2"/>
    <x v="7"/>
    <s v="timothy.hicks@gmail.com"/>
    <s v="140 Tracy Fields, Lake Cynthiaton, TX 57190"/>
    <s v="OID6911"/>
    <d v="2024-02-14T00:00:00"/>
    <x v="10"/>
    <s v="21:46:52"/>
    <x v="28"/>
    <n v="190.1"/>
    <n v="5"/>
    <n v="950.5"/>
    <x v="1"/>
    <n v="76.040000000000006"/>
    <n v="874.46"/>
    <n v="5"/>
    <n v="909.46"/>
    <n v="35"/>
    <d v="2024-02-19T00:00:00"/>
    <s v="16:09:29"/>
    <n v="985.5"/>
    <n v="5"/>
    <s v="Intime"/>
    <n v="950.5"/>
    <n v="0.08"/>
    <n v="76.040000000000006"/>
    <n v="111.04"/>
  </r>
  <r>
    <s v="CID124"/>
    <s v="Edward"/>
    <s v="Black"/>
    <x v="31"/>
    <n v="42"/>
    <x v="1"/>
    <x v="4"/>
    <s v="edward.black@gmail.com"/>
    <s v="5879 Susan Via Apt. 886, Sandovalbury, WV 61449"/>
    <s v="OID9745"/>
    <d v="2023-02-22T00:00:00"/>
    <x v="10"/>
    <s v="07:27:27"/>
    <x v="28"/>
    <n v="190.1"/>
    <n v="5"/>
    <n v="950.5"/>
    <x v="0"/>
    <n v="190.10000000000002"/>
    <n v="760.4"/>
    <n v="4"/>
    <n v="797.4"/>
    <n v="37"/>
    <d v="2023-02-27T00:00:00"/>
    <s v="14:08:36"/>
    <n v="987.5"/>
    <n v="5"/>
    <s v="Late"/>
    <n v="950.5"/>
    <n v="0.2"/>
    <n v="190.10000000000002"/>
    <n v="227.10000000000002"/>
  </r>
  <r>
    <s v="CID195"/>
    <s v="Sarah"/>
    <s v="Butler"/>
    <x v="64"/>
    <n v="64"/>
    <x v="1"/>
    <x v="0"/>
    <s v="sarah.butler@rediffmail.com"/>
    <s v="14131 Edwin Shore Apt. 190, Deniseberg, MD 90905"/>
    <s v="OID6229"/>
    <d v="2024-07-15T00:00:00"/>
    <x v="6"/>
    <s v="17:09:49"/>
    <x v="22"/>
    <n v="235.63"/>
    <n v="4"/>
    <n v="942.52"/>
    <x v="0"/>
    <n v="188.50400000000002"/>
    <n v="754.01599999999996"/>
    <n v="2"/>
    <n v="814.01599999999996"/>
    <n v="60"/>
    <d v="2024-07-22T00:00:00"/>
    <s v="22:15:50"/>
    <n v="1002.52"/>
    <n v="7"/>
    <s v="Late"/>
    <n v="942.52"/>
    <n v="0.2"/>
    <n v="188.50400000000002"/>
    <n v="248.50400000000002"/>
  </r>
  <r>
    <s v="CID168"/>
    <s v="Deborah"/>
    <s v="Bates"/>
    <x v="54"/>
    <n v="23"/>
    <x v="1"/>
    <x v="6"/>
    <s v="deborah.bates@yahoo.com"/>
    <s v="278 Kathy Estate, Saraville, OH 77292"/>
    <s v="OID7663"/>
    <d v="2024-08-16T00:00:00"/>
    <x v="3"/>
    <s v="04:06:55"/>
    <x v="16"/>
    <n v="308.88"/>
    <n v="3"/>
    <n v="926.64"/>
    <x v="2"/>
    <n v="92.664000000000001"/>
    <n v="833.976"/>
    <n v="7"/>
    <n v="876.976"/>
    <n v="43"/>
    <d v="2024-08-17T00:00:00"/>
    <s v="13:39:21"/>
    <n v="969.64"/>
    <n v="1"/>
    <s v="BeforeTime"/>
    <n v="926.64"/>
    <n v="0.1"/>
    <n v="92.664000000000001"/>
    <n v="135.66399999999999"/>
  </r>
  <r>
    <s v="CID134"/>
    <s v="Debra"/>
    <s v="Hayes"/>
    <x v="46"/>
    <n v="33"/>
    <x v="1"/>
    <x v="2"/>
    <s v="debra.hayes@yahoo.com"/>
    <s v="4601 Miller Lock, Williamsbury, IA 10943"/>
    <s v="OID5850"/>
    <d v="2025-01-18T00:00:00"/>
    <x v="4"/>
    <s v="19:40:45"/>
    <x v="16"/>
    <n v="308.88"/>
    <n v="3"/>
    <n v="926.64"/>
    <x v="3"/>
    <n v="138.99599999999998"/>
    <n v="787.64400000000001"/>
    <n v="4"/>
    <n v="835.64400000000001"/>
    <n v="48"/>
    <d v="2025-01-21T00:00:00"/>
    <s v="20:24:13"/>
    <n v="974.64"/>
    <n v="3"/>
    <s v="BeforeTime"/>
    <n v="926.64"/>
    <n v="0.15"/>
    <n v="138.99599999999998"/>
    <n v="186.99599999999998"/>
  </r>
  <r>
    <s v="CID155"/>
    <s v="Courtney"/>
    <s v="Parker"/>
    <x v="79"/>
    <n v="29"/>
    <x v="2"/>
    <x v="6"/>
    <s v="courtney.parker@yahoo.com"/>
    <s v="087 Jacqueline Rue Apt. 694, East Tasha, SC 04859"/>
    <s v="OID6433"/>
    <d v="2024-12-07T00:00:00"/>
    <x v="7"/>
    <s v="01:02:33"/>
    <x v="16"/>
    <n v="308.88"/>
    <n v="3"/>
    <n v="926.64"/>
    <x v="0"/>
    <n v="185.328"/>
    <n v="741.31200000000001"/>
    <n v="5"/>
    <n v="809.31200000000001"/>
    <n v="68"/>
    <d v="2024-12-10T00:00:00"/>
    <s v="03:31:58"/>
    <n v="994.64"/>
    <n v="3"/>
    <s v="BeforeTime"/>
    <n v="926.64"/>
    <n v="0.2"/>
    <n v="185.328"/>
    <n v="253.328"/>
  </r>
  <r>
    <s v="CID165"/>
    <s v="Mary"/>
    <s v="Knight"/>
    <x v="6"/>
    <n v="28"/>
    <x v="2"/>
    <x v="4"/>
    <s v="mary.knight@yahoo.com"/>
    <s v="907 Kimberly Hill, Murrayfort, NH 88384"/>
    <s v="OID9465"/>
    <d v="2023-11-11T00:00:00"/>
    <x v="2"/>
    <s v="06:54:02"/>
    <x v="3"/>
    <n v="445.81"/>
    <n v="2"/>
    <n v="891.62"/>
    <x v="4"/>
    <n v="0"/>
    <n v="891.62"/>
    <n v="7"/>
    <n v="958.62"/>
    <n v="67"/>
    <d v="2023-11-12T00:00:00"/>
    <s v="12:39:46"/>
    <n v="958.62"/>
    <n v="1"/>
    <s v="BeforeTime"/>
    <n v="891.62"/>
    <n v="0"/>
    <n v="0"/>
    <n v="0"/>
  </r>
  <r>
    <s v="CID146"/>
    <s v="Janice"/>
    <s v="Gordon"/>
    <x v="80"/>
    <n v="43"/>
    <x v="1"/>
    <x v="1"/>
    <s v="janice.gordon@yahoo.com"/>
    <s v="5812 Evelyn Mountains Suite 845, Ortiztown, MN 86166"/>
    <s v="OID8288"/>
    <d v="2024-10-06T00:00:00"/>
    <x v="11"/>
    <s v="02:55:29"/>
    <x v="3"/>
    <n v="445.81"/>
    <n v="2"/>
    <n v="891.62"/>
    <x v="3"/>
    <n v="133.74299999999999"/>
    <n v="757.87699999999995"/>
    <n v="4"/>
    <n v="816.87699999999995"/>
    <n v="59"/>
    <d v="2024-10-11T00:00:00"/>
    <s v="04:21:49"/>
    <n v="950.62"/>
    <n v="5"/>
    <s v="Late"/>
    <n v="891.62"/>
    <n v="0.15"/>
    <n v="133.74299999999999"/>
    <n v="192.74299999999999"/>
  </r>
  <r>
    <s v="CID193"/>
    <s v="Ashley"/>
    <s v="Rose"/>
    <x v="42"/>
    <n v="60"/>
    <x v="2"/>
    <x v="0"/>
    <s v="ashley.rose@gmail.com"/>
    <s v="424 Nichols Curve Suite 177, Lake Brianview, TX 17289"/>
    <s v="OID2686"/>
    <d v="2024-06-08T00:00:00"/>
    <x v="8"/>
    <s v="17:00:22"/>
    <x v="4"/>
    <n v="441.03"/>
    <n v="2"/>
    <n v="882.06"/>
    <x v="2"/>
    <n v="88.206000000000003"/>
    <n v="793.85399999999993"/>
    <n v="3"/>
    <n v="842.85399999999993"/>
    <n v="49"/>
    <d v="2024-06-15T00:00:00"/>
    <s v="12:18:47"/>
    <n v="931.06"/>
    <n v="7"/>
    <s v="Late"/>
    <n v="882.06"/>
    <n v="0.1"/>
    <n v="88.206000000000003"/>
    <n v="137.20600000000002"/>
  </r>
  <r>
    <s v="CID132"/>
    <s v="Timothy"/>
    <s v="Hicks"/>
    <x v="78"/>
    <n v="31"/>
    <x v="2"/>
    <x v="7"/>
    <s v="timothy.hicks@gmail.com"/>
    <s v="140 Tracy Fields, Lake Cynthiaton, TX 57190"/>
    <s v="OID2505"/>
    <d v="2023-08-10T00:00:00"/>
    <x v="3"/>
    <s v="12:37:13"/>
    <x v="4"/>
    <n v="441.03"/>
    <n v="2"/>
    <n v="882.06"/>
    <x v="1"/>
    <n v="70.564799999999991"/>
    <n v="811.49519999999995"/>
    <n v="3"/>
    <n v="873.49519999999995"/>
    <n v="62"/>
    <d v="2023-08-13T00:00:00"/>
    <s v="14:41:40"/>
    <n v="944.06"/>
    <n v="3"/>
    <s v="Intime"/>
    <n v="882.06"/>
    <n v="0.08"/>
    <n v="70.564799999999991"/>
    <n v="132.56479999999999"/>
  </r>
  <r>
    <s v="CID164"/>
    <s v="Lauren"/>
    <s v="Lane"/>
    <x v="32"/>
    <n v="30"/>
    <x v="1"/>
    <x v="3"/>
    <s v="lauren.lane@gmail.com"/>
    <s v="56985 Sergio Extensions, Port Albert, CO 02898"/>
    <s v="OID3760"/>
    <d v="2024-05-11T00:00:00"/>
    <x v="1"/>
    <s v="09:05:02"/>
    <x v="4"/>
    <n v="441.03"/>
    <n v="2"/>
    <n v="882.06"/>
    <x v="4"/>
    <n v="0"/>
    <n v="882.06"/>
    <n v="4"/>
    <n v="937.06"/>
    <n v="55"/>
    <d v="2024-05-17T00:00:00"/>
    <s v="05:31:50"/>
    <n v="937.06"/>
    <n v="6"/>
    <s v="Late"/>
    <n v="882.06"/>
    <n v="0"/>
    <n v="0"/>
    <n v="0"/>
  </r>
  <r>
    <s v="CID126"/>
    <s v="Marcus"/>
    <s v="Rogers"/>
    <x v="81"/>
    <n v="36"/>
    <x v="0"/>
    <x v="0"/>
    <s v="marcus.rogers@outlook.com"/>
    <s v="06912 Brown Pine Apt. 763, Teresamouth, HI 24377"/>
    <s v="OID2173"/>
    <d v="2023-04-12T00:00:00"/>
    <x v="0"/>
    <s v="00:41:18"/>
    <x v="4"/>
    <n v="441.03"/>
    <n v="2"/>
    <n v="882.06"/>
    <x v="2"/>
    <n v="88.206000000000003"/>
    <n v="793.85399999999993"/>
    <n v="4"/>
    <n v="853.85399999999993"/>
    <n v="60"/>
    <d v="2023-04-17T00:00:00"/>
    <s v="09:19:40"/>
    <n v="942.06"/>
    <n v="5"/>
    <s v="Late"/>
    <n v="882.06"/>
    <n v="0.1"/>
    <n v="88.206000000000003"/>
    <n v="148.20600000000002"/>
  </r>
  <r>
    <s v="CID116"/>
    <s v="John"/>
    <s v="Ramirez"/>
    <x v="26"/>
    <n v="28"/>
    <x v="2"/>
    <x v="7"/>
    <s v="john.ramirez@outlook.com"/>
    <s v="02797 Martin Landing, South Michelle, VT 98781"/>
    <s v="OID3607"/>
    <d v="2023-07-06T00:00:00"/>
    <x v="6"/>
    <s v="17:19:09"/>
    <x v="25"/>
    <n v="220.27"/>
    <n v="4"/>
    <n v="881.08"/>
    <x v="0"/>
    <n v="176.21600000000001"/>
    <n v="704.86400000000003"/>
    <n v="4"/>
    <n v="769.86400000000003"/>
    <n v="65"/>
    <d v="2023-07-10T00:00:00"/>
    <s v="09:03:23"/>
    <n v="946.08"/>
    <n v="4"/>
    <s v="Intime"/>
    <n v="881.08"/>
    <n v="0.2"/>
    <n v="176.21600000000001"/>
    <n v="241.21600000000001"/>
  </r>
  <r>
    <s v="CID192"/>
    <s v="Brandon"/>
    <s v="Cruz"/>
    <x v="57"/>
    <n v="32"/>
    <x v="2"/>
    <x v="6"/>
    <s v="brandon.cruz@gmail.com"/>
    <s v="9296 Villanueva Branch, East Kevin, CO 93912"/>
    <s v="OID1134"/>
    <d v="2023-07-24T00:00:00"/>
    <x v="6"/>
    <s v="06:22:42"/>
    <x v="29"/>
    <n v="175.93"/>
    <n v="5"/>
    <n v="879.65000000000009"/>
    <x v="4"/>
    <n v="0"/>
    <n v="879.65000000000009"/>
    <n v="5"/>
    <n v="942.65000000000009"/>
    <n v="63"/>
    <d v="2023-07-31T00:00:00"/>
    <s v="11:58:32"/>
    <n v="942.65000000000009"/>
    <n v="7"/>
    <s v="Late"/>
    <n v="879.65000000000009"/>
    <n v="0"/>
    <n v="0"/>
    <n v="0"/>
  </r>
  <r>
    <s v="CID168"/>
    <s v="Deborah"/>
    <s v="Bates"/>
    <x v="54"/>
    <n v="23"/>
    <x v="1"/>
    <x v="6"/>
    <s v="deborah.bates@yahoo.com"/>
    <s v="278 Kathy Estate, Saraville, OH 77292"/>
    <s v="OID7382"/>
    <d v="2023-10-26T00:00:00"/>
    <x v="11"/>
    <s v="08:34:53"/>
    <x v="18"/>
    <n v="292.14999999999998"/>
    <n v="3"/>
    <n v="876.44999999999993"/>
    <x v="4"/>
    <n v="0"/>
    <n v="876.44999999999993"/>
    <n v="3"/>
    <n v="927.44999999999993"/>
    <n v="51"/>
    <d v="2023-10-28T00:00:00"/>
    <s v="13:26:32"/>
    <n v="927.44999999999993"/>
    <n v="2"/>
    <s v="BeforeTime"/>
    <n v="876.44999999999993"/>
    <n v="0"/>
    <n v="0"/>
    <n v="0"/>
  </r>
  <r>
    <s v="CID140"/>
    <s v="Beth"/>
    <s v="Mason"/>
    <x v="62"/>
    <n v="45"/>
    <x v="2"/>
    <x v="6"/>
    <s v="beth.mason@outlook.com"/>
    <s v="58998 Sherry Haven, East Richard, FL 90775"/>
    <s v="OID6943"/>
    <d v="2024-07-31T00:00:00"/>
    <x v="6"/>
    <s v="04:48:30"/>
    <x v="15"/>
    <n v="433.62"/>
    <n v="2"/>
    <n v="867.24"/>
    <x v="0"/>
    <n v="173.44800000000001"/>
    <n v="693.79200000000003"/>
    <n v="1"/>
    <n v="734.79200000000003"/>
    <n v="41"/>
    <d v="2024-08-06T00:00:00"/>
    <s v="10:01:40"/>
    <n v="908.24"/>
    <n v="6"/>
    <s v="Late"/>
    <n v="867.24"/>
    <n v="0.2"/>
    <n v="173.44800000000001"/>
    <n v="214.44800000000001"/>
  </r>
  <r>
    <s v="CID113"/>
    <s v="Brendan"/>
    <s v="Kelly"/>
    <x v="23"/>
    <n v="50"/>
    <x v="2"/>
    <x v="2"/>
    <s v="brendan.kelly@rediffmail.com"/>
    <s v="688 Donald Oval Suite 089, Shepardport, CA 50844"/>
    <s v="OID5367"/>
    <d v="2023-09-14T00:00:00"/>
    <x v="9"/>
    <s v="23:27:24"/>
    <x v="15"/>
    <n v="433.62"/>
    <n v="2"/>
    <n v="867.24"/>
    <x v="4"/>
    <n v="0"/>
    <n v="867.24"/>
    <n v="1"/>
    <n v="913.24"/>
    <n v="46"/>
    <d v="2023-09-17T00:00:00"/>
    <s v="06:00:22"/>
    <n v="913.24"/>
    <n v="3"/>
    <s v="Late"/>
    <n v="867.24"/>
    <n v="0"/>
    <n v="0"/>
    <n v="0"/>
  </r>
  <r>
    <s v="CID144"/>
    <s v="William"/>
    <s v="Mann"/>
    <x v="71"/>
    <n v="21"/>
    <x v="1"/>
    <x v="1"/>
    <s v="william.mann@yahoo.com"/>
    <s v="849 Tran Wells, New Lindsayville, WI 22669"/>
    <s v="OID8826"/>
    <d v="2024-12-12T00:00:00"/>
    <x v="7"/>
    <s v="04:40:06"/>
    <x v="15"/>
    <n v="433.62"/>
    <n v="2"/>
    <n v="867.24"/>
    <x v="2"/>
    <n v="86.724000000000004"/>
    <n v="780.51599999999996"/>
    <n v="7"/>
    <n v="819.51599999999996"/>
    <n v="39"/>
    <d v="2024-12-18T00:00:00"/>
    <s v="02:03:57"/>
    <n v="906.24"/>
    <n v="6"/>
    <s v="BeforeTime"/>
    <n v="867.24"/>
    <n v="0.1"/>
    <n v="86.724000000000004"/>
    <n v="125.724"/>
  </r>
  <r>
    <s v="CID163"/>
    <s v="Mark"/>
    <s v="Henderson"/>
    <x v="82"/>
    <n v="33"/>
    <x v="2"/>
    <x v="3"/>
    <s v="mark.henderson@yahoo.com"/>
    <s v="90155 Hines Spring, North Theresafurt, ME 31920"/>
    <s v="OID7483"/>
    <d v="2023-04-16T00:00:00"/>
    <x v="0"/>
    <s v="12:19:38"/>
    <x v="15"/>
    <n v="433.62"/>
    <n v="2"/>
    <n v="867.24"/>
    <x v="1"/>
    <n v="69.379199999999997"/>
    <n v="797.86080000000004"/>
    <n v="7"/>
    <n v="853.86080000000004"/>
    <n v="56"/>
    <d v="2023-04-23T00:00:00"/>
    <s v="00:24:54"/>
    <n v="923.24"/>
    <n v="7"/>
    <s v="Intime"/>
    <n v="867.24"/>
    <n v="0.08"/>
    <n v="69.379199999999997"/>
    <n v="125.3792"/>
  </r>
  <r>
    <s v="CID199"/>
    <s v="Lori"/>
    <s v="Cook"/>
    <x v="25"/>
    <n v="18"/>
    <x v="0"/>
    <x v="1"/>
    <s v="lori.cook@rediffmail.com"/>
    <s v="86837 Bell Meadows, North Jasonshire, UT 51354"/>
    <s v="OID5832"/>
    <d v="2023-02-15T00:00:00"/>
    <x v="10"/>
    <s v="02:34:25"/>
    <x v="19"/>
    <n v="286.07"/>
    <n v="3"/>
    <n v="858.21"/>
    <x v="0"/>
    <n v="171.64200000000002"/>
    <n v="686.56799999999998"/>
    <n v="2"/>
    <n v="740.56799999999998"/>
    <n v="54"/>
    <d v="2023-02-20T00:00:00"/>
    <s v="13:09:47"/>
    <n v="912.21"/>
    <n v="5"/>
    <s v="Late"/>
    <n v="858.21"/>
    <n v="0.2"/>
    <n v="171.64200000000002"/>
    <n v="225.64200000000002"/>
  </r>
  <r>
    <s v="CID157"/>
    <s v="Sarah"/>
    <s v="Benson"/>
    <x v="19"/>
    <n v="40"/>
    <x v="2"/>
    <x v="3"/>
    <s v="sarah.benson@outlook.com"/>
    <s v="5399 Hayes Well, West Pennystad, IL 93798"/>
    <s v="OID7946"/>
    <d v="2024-05-10T00:00:00"/>
    <x v="1"/>
    <s v="20:27:13"/>
    <x v="6"/>
    <n v="425.59"/>
    <n v="2"/>
    <n v="851.18"/>
    <x v="1"/>
    <n v="68.094399999999993"/>
    <n v="783.0856"/>
    <n v="3"/>
    <n v="830.0856"/>
    <n v="47"/>
    <d v="2024-05-11T00:00:00"/>
    <s v="22:27:12"/>
    <n v="898.18"/>
    <n v="1"/>
    <s v="BeforeTime"/>
    <n v="851.18"/>
    <n v="0.08"/>
    <n v="68.094399999999993"/>
    <n v="115.09439999999999"/>
  </r>
  <r>
    <s v="CID183"/>
    <s v="Troy"/>
    <s v="Gomez"/>
    <x v="47"/>
    <n v="68"/>
    <x v="1"/>
    <x v="3"/>
    <s v="troy.gomez@outlook.com"/>
    <s v="7510 Jose Knolls, Candicechester, LA 62815"/>
    <s v="OID7117"/>
    <d v="2023-02-16T00:00:00"/>
    <x v="10"/>
    <s v="04:49:20"/>
    <x v="6"/>
    <n v="425.59"/>
    <n v="2"/>
    <n v="851.18"/>
    <x v="4"/>
    <n v="0"/>
    <n v="851.18"/>
    <n v="2"/>
    <n v="918.18"/>
    <n v="67"/>
    <d v="2023-02-20T00:00:00"/>
    <s v="16:13:35"/>
    <n v="918.18"/>
    <n v="4"/>
    <s v="Late"/>
    <n v="851.18"/>
    <n v="0"/>
    <n v="0"/>
    <n v="0"/>
  </r>
  <r>
    <s v="CID174"/>
    <s v="Jodi"/>
    <s v="Whitney"/>
    <x v="2"/>
    <n v="33"/>
    <x v="2"/>
    <x v="2"/>
    <s v="jodi.whitney@yahoo.com"/>
    <s v="72876 Lara Key Suite 383, Gutierrezton, OR 71683"/>
    <s v="OID5831"/>
    <d v="2024-02-29T00:00:00"/>
    <x v="10"/>
    <s v="18:12:36"/>
    <x v="6"/>
    <n v="425.59"/>
    <n v="2"/>
    <n v="851.18"/>
    <x v="2"/>
    <n v="85.117999999999995"/>
    <n v="766.0619999999999"/>
    <n v="4"/>
    <n v="830.0619999999999"/>
    <n v="64"/>
    <d v="2024-03-07T00:00:00"/>
    <s v="04:54:21"/>
    <n v="915.18"/>
    <n v="7"/>
    <s v="Late"/>
    <n v="851.18"/>
    <n v="0.1"/>
    <n v="85.117999999999995"/>
    <n v="149.11799999999999"/>
  </r>
  <r>
    <s v="CID132"/>
    <s v="Timothy"/>
    <s v="Hicks"/>
    <x v="78"/>
    <n v="31"/>
    <x v="2"/>
    <x v="7"/>
    <s v="timothy.hicks@gmail.com"/>
    <s v="140 Tracy Fields, Lake Cynthiaton, TX 57190"/>
    <s v="OID7650"/>
    <d v="2024-04-16T00:00:00"/>
    <x v="0"/>
    <s v="12:40:06"/>
    <x v="6"/>
    <n v="425.59"/>
    <n v="2"/>
    <n v="851.18"/>
    <x v="3"/>
    <n v="127.67699999999999"/>
    <n v="723.50299999999993"/>
    <n v="1"/>
    <n v="767.50299999999993"/>
    <n v="44"/>
    <d v="2024-04-21T00:00:00"/>
    <s v="03:46:12"/>
    <n v="895.18"/>
    <n v="5"/>
    <s v="Late"/>
    <n v="851.18"/>
    <n v="0.15"/>
    <n v="127.67699999999999"/>
    <n v="171.67699999999999"/>
  </r>
  <r>
    <s v="CID184"/>
    <s v="Aaron"/>
    <s v="Thompson"/>
    <x v="9"/>
    <n v="47"/>
    <x v="0"/>
    <x v="6"/>
    <s v="aaron.thompson@gmail.com"/>
    <s v="PSC 0550, Box 2737, APO AE 75772"/>
    <s v="OID6246"/>
    <d v="2024-08-09T00:00:00"/>
    <x v="3"/>
    <s v="10:04:49"/>
    <x v="7"/>
    <n v="424.82"/>
    <n v="2"/>
    <n v="849.64"/>
    <x v="4"/>
    <n v="0"/>
    <n v="849.64"/>
    <n v="2"/>
    <n v="906.64"/>
    <n v="57"/>
    <d v="2024-08-16T00:00:00"/>
    <s v="22:07:13"/>
    <n v="906.64"/>
    <n v="7"/>
    <s v="Late"/>
    <n v="849.64"/>
    <n v="0"/>
    <n v="0"/>
    <n v="0"/>
  </r>
  <r>
    <s v="CID135"/>
    <s v="Amanda"/>
    <s v="Howard"/>
    <x v="60"/>
    <n v="52"/>
    <x v="2"/>
    <x v="3"/>
    <s v="amanda.howard@outlook.com"/>
    <s v="56908 Sydney Park Suite 632, West Anthonyport, NC 15954"/>
    <s v="OID7475"/>
    <d v="2024-06-29T00:00:00"/>
    <x v="8"/>
    <s v="08:30:03"/>
    <x v="7"/>
    <n v="424.82"/>
    <n v="2"/>
    <n v="849.64"/>
    <x v="4"/>
    <n v="0"/>
    <n v="849.64"/>
    <n v="6"/>
    <n v="912.64"/>
    <n v="63"/>
    <d v="2024-07-04T00:00:00"/>
    <s v="17:07:47"/>
    <n v="912.64"/>
    <n v="5"/>
    <s v="BeforeTime"/>
    <n v="849.64"/>
    <n v="0"/>
    <n v="0"/>
    <n v="0"/>
  </r>
  <r>
    <s v="CID158"/>
    <s v="Angela"/>
    <s v="Evans"/>
    <x v="52"/>
    <n v="52"/>
    <x v="2"/>
    <x v="1"/>
    <s v="angela.evans@outlook.com"/>
    <s v="16031 David Mountain Suite 431, Susanborough, PA 01910"/>
    <s v="OID2121"/>
    <d v="2023-07-31T00:00:00"/>
    <x v="6"/>
    <s v="06:04:50"/>
    <x v="23"/>
    <n v="282.63"/>
    <n v="3"/>
    <n v="847.89"/>
    <x v="4"/>
    <n v="0"/>
    <n v="847.89"/>
    <n v="2"/>
    <n v="887.89"/>
    <n v="40"/>
    <d v="2023-08-04T00:00:00"/>
    <s v="20:36:00"/>
    <n v="887.89"/>
    <n v="4"/>
    <s v="Late"/>
    <n v="847.89"/>
    <n v="0"/>
    <n v="0"/>
    <n v="0"/>
  </r>
  <r>
    <s v="CID174"/>
    <s v="Jodi"/>
    <s v="Whitney"/>
    <x v="2"/>
    <n v="33"/>
    <x v="2"/>
    <x v="2"/>
    <s v="jodi.whitney@yahoo.com"/>
    <s v="72876 Lara Key Suite 383, Gutierrezton, OR 71683"/>
    <s v="OID8708"/>
    <d v="2024-01-11T00:00:00"/>
    <x v="4"/>
    <s v="07:05:11"/>
    <x v="23"/>
    <n v="282.63"/>
    <n v="3"/>
    <n v="847.89"/>
    <x v="4"/>
    <n v="0"/>
    <n v="847.89"/>
    <n v="4"/>
    <n v="913.89"/>
    <n v="66"/>
    <d v="2024-01-16T00:00:00"/>
    <s v="14:16:13"/>
    <n v="913.89"/>
    <n v="5"/>
    <s v="Late"/>
    <n v="847.89"/>
    <n v="0"/>
    <n v="0"/>
    <n v="0"/>
  </r>
  <r>
    <s v="CID135"/>
    <s v="Amanda"/>
    <s v="Howard"/>
    <x v="60"/>
    <n v="52"/>
    <x v="2"/>
    <x v="3"/>
    <s v="amanda.howard@outlook.com"/>
    <s v="56908 Sydney Park Suite 632, West Anthonyport, NC 15954"/>
    <s v="OID5598"/>
    <d v="2024-06-28T00:00:00"/>
    <x v="8"/>
    <s v="00:07:15"/>
    <x v="23"/>
    <n v="282.63"/>
    <n v="3"/>
    <n v="847.89"/>
    <x v="1"/>
    <n v="67.831199999999995"/>
    <n v="780.05880000000002"/>
    <n v="3"/>
    <n v="816.05880000000002"/>
    <n v="36"/>
    <d v="2024-07-05T00:00:00"/>
    <s v="06:30:27"/>
    <n v="883.89"/>
    <n v="7"/>
    <s v="Late"/>
    <n v="847.89"/>
    <n v="0.08"/>
    <n v="67.831199999999995"/>
    <n v="103.8312"/>
  </r>
  <r>
    <s v="CID153"/>
    <s v="Mitchell"/>
    <s v="Parker"/>
    <x v="39"/>
    <n v="39"/>
    <x v="2"/>
    <x v="1"/>
    <s v="mitchell.parker@yahoo.com"/>
    <s v="PSC 3316, Box 9303, APO AE 29513"/>
    <s v="OID8569"/>
    <d v="2024-12-25T00:00:00"/>
    <x v="7"/>
    <s v="14:49:31"/>
    <x v="8"/>
    <n v="421.7"/>
    <n v="2"/>
    <n v="843.4"/>
    <x v="1"/>
    <n v="67.471999999999994"/>
    <n v="775.928"/>
    <n v="5"/>
    <n v="820.928"/>
    <n v="45"/>
    <d v="2024-12-27T00:00:00"/>
    <s v="04:10:37"/>
    <n v="888.4"/>
    <n v="2"/>
    <s v="BeforeTime"/>
    <n v="843.4"/>
    <n v="0.08"/>
    <n v="67.471999999999994"/>
    <n v="112.47199999999999"/>
  </r>
  <r>
    <s v="CID176"/>
    <s v="Joshua"/>
    <s v="Campbell"/>
    <x v="50"/>
    <n v="24"/>
    <x v="1"/>
    <x v="5"/>
    <s v="joshua.campbell@gmail.com"/>
    <s v="70426 Lindsey Overpass Apt. 030, Jessicafurt, AR 46269"/>
    <s v="OID2119"/>
    <d v="2024-08-08T00:00:00"/>
    <x v="3"/>
    <s v="17:29:54"/>
    <x v="8"/>
    <n v="421.7"/>
    <n v="2"/>
    <n v="843.4"/>
    <x v="2"/>
    <n v="84.34"/>
    <n v="759.06"/>
    <n v="2"/>
    <n v="813.06"/>
    <n v="54"/>
    <d v="2024-08-10T00:00:00"/>
    <s v="07:27:00"/>
    <n v="897.4"/>
    <n v="2"/>
    <s v="Intime"/>
    <n v="843.4"/>
    <n v="0.1"/>
    <n v="84.34"/>
    <n v="138.34"/>
  </r>
  <r>
    <s v="CID144"/>
    <s v="William"/>
    <s v="Mann"/>
    <x v="71"/>
    <n v="21"/>
    <x v="1"/>
    <x v="1"/>
    <s v="william.mann@yahoo.com"/>
    <s v="849 Tran Wells, New Lindsayville, WI 22669"/>
    <s v="OID7759"/>
    <d v="2024-01-30T00:00:00"/>
    <x v="4"/>
    <s v="01:16:21"/>
    <x v="24"/>
    <n v="275.44"/>
    <n v="3"/>
    <n v="826.31999999999994"/>
    <x v="3"/>
    <n v="123.94799999999998"/>
    <n v="702.37199999999996"/>
    <n v="7"/>
    <n v="749.37199999999996"/>
    <n v="47"/>
    <d v="2024-01-31T00:00:00"/>
    <s v="17:07:06"/>
    <n v="873.31999999999994"/>
    <n v="1"/>
    <s v="BeforeTime"/>
    <n v="826.31999999999994"/>
    <n v="0.15"/>
    <n v="123.94799999999998"/>
    <n v="170.94799999999998"/>
  </r>
  <r>
    <s v="CID148"/>
    <s v="Erin"/>
    <s v="Miller"/>
    <x v="8"/>
    <n v="46"/>
    <x v="1"/>
    <x v="2"/>
    <s v="erin.miller@gmail.com"/>
    <s v="65972 Peterson Route, Port Andrewfurt, SD 32892"/>
    <s v="OID9980"/>
    <d v="2024-06-30T00:00:00"/>
    <x v="8"/>
    <s v="11:00:03"/>
    <x v="20"/>
    <n v="272.51"/>
    <n v="3"/>
    <n v="817.53"/>
    <x v="1"/>
    <n v="65.4024"/>
    <n v="752.12760000000003"/>
    <n v="5"/>
    <n v="818.12760000000003"/>
    <n v="66"/>
    <d v="2024-07-06T00:00:00"/>
    <s v="15:17:48"/>
    <n v="883.53"/>
    <n v="6"/>
    <s v="Late"/>
    <n v="817.53"/>
    <n v="0.08"/>
    <n v="65.4024"/>
    <n v="131.4024"/>
  </r>
  <r>
    <s v="CID165"/>
    <s v="Mary"/>
    <s v="Knight"/>
    <x v="6"/>
    <n v="28"/>
    <x v="2"/>
    <x v="4"/>
    <s v="mary.knight@yahoo.com"/>
    <s v="907 Kimberly Hill, Murrayfort, NH 88384"/>
    <s v="OID4538"/>
    <d v="2024-01-16T00:00:00"/>
    <x v="4"/>
    <s v="12:27:25"/>
    <x v="20"/>
    <n v="272.51"/>
    <n v="3"/>
    <n v="817.53"/>
    <x v="1"/>
    <n v="65.4024"/>
    <n v="752.12760000000003"/>
    <n v="6"/>
    <n v="796.12760000000003"/>
    <n v="44"/>
    <d v="2024-01-19T00:00:00"/>
    <s v="23:59:41"/>
    <n v="861.53"/>
    <n v="3"/>
    <s v="BeforeTime"/>
    <n v="817.53"/>
    <n v="0.08"/>
    <n v="65.4024"/>
    <n v="109.4024"/>
  </r>
  <r>
    <s v="CID199"/>
    <s v="Lori"/>
    <s v="Cook"/>
    <x v="25"/>
    <n v="18"/>
    <x v="0"/>
    <x v="1"/>
    <s v="lori.cook@rediffmail.com"/>
    <s v="86837 Bell Meadows, North Jasonshire, UT 51354"/>
    <s v="OID1692"/>
    <d v="2024-03-27T00:00:00"/>
    <x v="5"/>
    <s v="03:06:30"/>
    <x v="27"/>
    <n v="202.54"/>
    <n v="4"/>
    <n v="810.16"/>
    <x v="2"/>
    <n v="81.016000000000005"/>
    <n v="729.14400000000001"/>
    <n v="1"/>
    <n v="765.14400000000001"/>
    <n v="36"/>
    <d v="2024-03-29T00:00:00"/>
    <s v="06:57:51"/>
    <n v="846.16"/>
    <n v="2"/>
    <s v="Late"/>
    <n v="810.16"/>
    <n v="0.1"/>
    <n v="81.016000000000005"/>
    <n v="117.01600000000001"/>
  </r>
  <r>
    <s v="CID100"/>
    <s v="Sharon"/>
    <s v="Thompson"/>
    <x v="73"/>
    <n v="57"/>
    <x v="0"/>
    <x v="3"/>
    <s v="sharon.thompson@yahoo.com"/>
    <s v="598 Jasmine Harbor, Turnerberg, SD 02371"/>
    <s v="OID6771"/>
    <d v="2023-11-22T00:00:00"/>
    <x v="2"/>
    <s v="01:09:33"/>
    <x v="9"/>
    <n v="405"/>
    <n v="2"/>
    <n v="810"/>
    <x v="4"/>
    <n v="0"/>
    <n v="810"/>
    <n v="4"/>
    <n v="880"/>
    <n v="70"/>
    <d v="2023-11-27T00:00:00"/>
    <s v="21:18:20"/>
    <n v="880"/>
    <n v="5"/>
    <s v="Late"/>
    <n v="810"/>
    <n v="0"/>
    <n v="0"/>
    <n v="0"/>
  </r>
  <r>
    <s v="CID169"/>
    <s v="Robert"/>
    <s v="Castillo"/>
    <x v="83"/>
    <n v="32"/>
    <x v="0"/>
    <x v="2"/>
    <s v="robert.castillo@gmail.com"/>
    <s v="7143 Brandon Skyway Suite 899, Tylerton, IA 21756"/>
    <s v="OID4965"/>
    <d v="2025-01-20T00:00:00"/>
    <x v="4"/>
    <s v="09:43:17"/>
    <x v="9"/>
    <n v="405"/>
    <n v="2"/>
    <n v="810"/>
    <x v="3"/>
    <n v="121.5"/>
    <n v="688.5"/>
    <n v="7"/>
    <n v="743.5"/>
    <n v="55"/>
    <d v="2025-01-23T00:00:00"/>
    <s v="16:27:25"/>
    <n v="865"/>
    <n v="3"/>
    <s v="BeforeTime"/>
    <n v="810"/>
    <n v="0.15"/>
    <n v="121.5"/>
    <n v="176.5"/>
  </r>
  <r>
    <s v="CID104"/>
    <s v="Gary"/>
    <s v="Huff"/>
    <x v="48"/>
    <n v="18"/>
    <x v="1"/>
    <x v="4"/>
    <s v="gary.huff@gmail.com"/>
    <s v="58608 Alexander Terrace, South Bryan, SC 85541"/>
    <s v="OID1071"/>
    <d v="2023-07-10T00:00:00"/>
    <x v="6"/>
    <s v="06:47:14"/>
    <x v="10"/>
    <n v="403.03"/>
    <n v="2"/>
    <n v="806.06"/>
    <x v="3"/>
    <n v="120.90899999999999"/>
    <n v="685.15099999999995"/>
    <n v="7"/>
    <n v="730.15099999999995"/>
    <n v="45"/>
    <d v="2023-07-11T00:00:00"/>
    <s v="05:46:18"/>
    <n v="851.06"/>
    <n v="1"/>
    <s v="BeforeTime"/>
    <n v="806.06"/>
    <n v="0.15"/>
    <n v="120.90899999999999"/>
    <n v="165.90899999999999"/>
  </r>
  <r>
    <s v="CID113"/>
    <s v="Brendan"/>
    <s v="Kelly"/>
    <x v="23"/>
    <n v="50"/>
    <x v="2"/>
    <x v="2"/>
    <s v="brendan.kelly@rediffmail.com"/>
    <s v="688 Donald Oval Suite 089, Shepardport, CA 50844"/>
    <s v="OID3980"/>
    <d v="2025-01-15T00:00:00"/>
    <x v="4"/>
    <s v="21:10:06"/>
    <x v="10"/>
    <n v="403.03"/>
    <n v="2"/>
    <n v="806.06"/>
    <x v="0"/>
    <n v="161.21199999999999"/>
    <n v="644.84799999999996"/>
    <n v="3"/>
    <n v="705.84799999999996"/>
    <n v="61"/>
    <d v="2025-01-20T00:00:00"/>
    <s v="08:42:57"/>
    <n v="867.06"/>
    <n v="5"/>
    <s v="Late"/>
    <n v="806.06"/>
    <n v="0.2"/>
    <n v="161.21199999999999"/>
    <n v="222.21199999999999"/>
  </r>
  <r>
    <s v="CID158"/>
    <s v="Angela"/>
    <s v="Evans"/>
    <x v="52"/>
    <n v="52"/>
    <x v="2"/>
    <x v="1"/>
    <s v="angela.evans@outlook.com"/>
    <s v="16031 David Mountain Suite 431, Susanborough, PA 01910"/>
    <s v="OID1477"/>
    <d v="2023-11-12T00:00:00"/>
    <x v="2"/>
    <s v="07:28:15"/>
    <x v="10"/>
    <n v="403.03"/>
    <n v="2"/>
    <n v="806.06"/>
    <x v="1"/>
    <n v="64.484799999999993"/>
    <n v="741.5752"/>
    <n v="4"/>
    <n v="811.5752"/>
    <n v="70"/>
    <d v="2023-11-16T00:00:00"/>
    <s v="12:59:43"/>
    <n v="876.06"/>
    <n v="4"/>
    <s v="Intime"/>
    <n v="806.06"/>
    <n v="0.08"/>
    <n v="64.484799999999993"/>
    <n v="134.48480000000001"/>
  </r>
  <r>
    <s v="CID118"/>
    <s v="Amy"/>
    <s v="Ellis"/>
    <x v="44"/>
    <n v="44"/>
    <x v="2"/>
    <x v="6"/>
    <s v="amy.ellis@gmail.com"/>
    <s v="217 Scott Ville, Christophermouth, NH 83776"/>
    <s v="OID4907"/>
    <d v="2024-04-28T00:00:00"/>
    <x v="0"/>
    <s v="20:13:44"/>
    <x v="10"/>
    <n v="403.03"/>
    <n v="2"/>
    <n v="806.06"/>
    <x v="3"/>
    <n v="120.90899999999999"/>
    <n v="685.15099999999995"/>
    <n v="7"/>
    <n v="724.15099999999995"/>
    <n v="39"/>
    <d v="2024-05-05T00:00:00"/>
    <s v="09:06:18"/>
    <n v="845.06"/>
    <n v="7"/>
    <s v="Intime"/>
    <n v="806.06"/>
    <n v="0.15"/>
    <n v="120.90899999999999"/>
    <n v="159.90899999999999"/>
  </r>
  <r>
    <s v="CID191"/>
    <s v="Lauren"/>
    <s v="Long"/>
    <x v="5"/>
    <n v="44"/>
    <x v="1"/>
    <x v="3"/>
    <s v="lauren.long@gmail.com"/>
    <s v="258 Michael Brooks Suite 363, Arnoldview, PA 49438"/>
    <s v="OID5502"/>
    <d v="2024-09-13T00:00:00"/>
    <x v="9"/>
    <s v="13:50:14"/>
    <x v="30"/>
    <n v="158.53"/>
    <n v="5"/>
    <n v="792.65"/>
    <x v="0"/>
    <n v="158.53"/>
    <n v="634.12"/>
    <n v="3"/>
    <n v="676.12"/>
    <n v="42"/>
    <d v="2024-09-18T00:00:00"/>
    <s v="08:49:03"/>
    <n v="834.65"/>
    <n v="5"/>
    <s v="Late"/>
    <n v="792.65"/>
    <n v="0.2"/>
    <n v="158.53"/>
    <n v="200.53"/>
  </r>
  <r>
    <s v="CID182"/>
    <s v="John"/>
    <s v="Herrera"/>
    <x v="22"/>
    <n v="64"/>
    <x v="0"/>
    <x v="1"/>
    <s v="john.herrera@outlook.com"/>
    <s v="61263 Jacob Isle, Amandatown, TN 34321"/>
    <s v="OID6912"/>
    <d v="2023-07-11T00:00:00"/>
    <x v="6"/>
    <s v="07:51:16"/>
    <x v="30"/>
    <n v="158.53"/>
    <n v="5"/>
    <n v="792.65"/>
    <x v="0"/>
    <n v="158.53"/>
    <n v="634.12"/>
    <n v="1"/>
    <n v="691.12"/>
    <n v="57"/>
    <d v="2023-07-18T00:00:00"/>
    <s v="06:23:31"/>
    <n v="849.65"/>
    <n v="7"/>
    <s v="Late"/>
    <n v="792.65"/>
    <n v="0.2"/>
    <n v="158.53"/>
    <n v="215.53"/>
  </r>
  <r>
    <s v="CID198"/>
    <s v="David"/>
    <s v="Delacruz"/>
    <x v="67"/>
    <n v="26"/>
    <x v="0"/>
    <x v="6"/>
    <s v="david.delacruz@rediffmail.com"/>
    <s v="USNS Ray, FPO AE 20238"/>
    <s v="OID5996"/>
    <d v="2023-07-01T00:00:00"/>
    <x v="6"/>
    <s v="14:09:23"/>
    <x v="30"/>
    <n v="158.53"/>
    <n v="5"/>
    <n v="792.65"/>
    <x v="4"/>
    <n v="0"/>
    <n v="792.65"/>
    <n v="4"/>
    <n v="858.65"/>
    <n v="66"/>
    <d v="2023-07-04T00:00:00"/>
    <s v="10:17:52"/>
    <n v="858.65"/>
    <n v="3"/>
    <s v="BeforeTime"/>
    <n v="792.65"/>
    <n v="0"/>
    <n v="0"/>
    <n v="0"/>
  </r>
  <r>
    <s v="CID149"/>
    <s v="Angela"/>
    <s v="Horne"/>
    <x v="65"/>
    <n v="49"/>
    <x v="2"/>
    <x v="0"/>
    <s v="angela.horne@outlook.com"/>
    <s v="USNV Mueller, FPO AP 54648"/>
    <s v="OID8114"/>
    <d v="2024-10-13T00:00:00"/>
    <x v="11"/>
    <s v="10:24:24"/>
    <x v="30"/>
    <n v="158.53"/>
    <n v="5"/>
    <n v="792.65"/>
    <x v="1"/>
    <n v="63.411999999999999"/>
    <n v="729.23799999999994"/>
    <n v="2"/>
    <n v="793.23799999999994"/>
    <n v="64"/>
    <d v="2024-10-17T00:00:00"/>
    <s v="20:08:57"/>
    <n v="856.65"/>
    <n v="4"/>
    <s v="Late"/>
    <n v="792.65"/>
    <n v="0.08"/>
    <n v="63.411999999999999"/>
    <n v="127.41200000000001"/>
  </r>
  <r>
    <s v="CID151"/>
    <s v="William"/>
    <s v="Richmond"/>
    <x v="84"/>
    <n v="57"/>
    <x v="2"/>
    <x v="7"/>
    <s v="william.richmond@outlook.com"/>
    <s v="4021 Brown Orchard Apt. 026, Christinahaven, OK 18499"/>
    <s v="OID8307"/>
    <d v="2023-08-09T00:00:00"/>
    <x v="3"/>
    <s v="23:19:47"/>
    <x v="30"/>
    <n v="158.53"/>
    <n v="5"/>
    <n v="792.65"/>
    <x v="0"/>
    <n v="158.53"/>
    <n v="634.12"/>
    <n v="1"/>
    <n v="680.12"/>
    <n v="46"/>
    <d v="2023-08-13T00:00:00"/>
    <s v="16:06:37"/>
    <n v="838.65"/>
    <n v="4"/>
    <s v="Late"/>
    <n v="792.65"/>
    <n v="0.2"/>
    <n v="158.53"/>
    <n v="204.53"/>
  </r>
  <r>
    <s v="CID158"/>
    <s v="Angela"/>
    <s v="Evans"/>
    <x v="52"/>
    <n v="52"/>
    <x v="2"/>
    <x v="1"/>
    <s v="angela.evans@outlook.com"/>
    <s v="16031 David Mountain Suite 431, Susanborough, PA 01910"/>
    <s v="OID4432"/>
    <d v="2023-11-14T00:00:00"/>
    <x v="2"/>
    <s v="05:01:37"/>
    <x v="31"/>
    <n v="157.63999999999999"/>
    <n v="5"/>
    <n v="788.19999999999993"/>
    <x v="1"/>
    <n v="63.055999999999997"/>
    <n v="725.14399999999989"/>
    <n v="4"/>
    <n v="778.14399999999989"/>
    <n v="53"/>
    <d v="2023-11-16T00:00:00"/>
    <s v="14:14:46"/>
    <n v="841.19999999999993"/>
    <n v="2"/>
    <s v="BeforeTime"/>
    <n v="788.19999999999993"/>
    <n v="0.08"/>
    <n v="63.055999999999997"/>
    <n v="116.056"/>
  </r>
  <r>
    <s v="CID194"/>
    <s v="Barbara"/>
    <s v="Fuller"/>
    <x v="12"/>
    <n v="43"/>
    <x v="2"/>
    <x v="5"/>
    <s v="barbara.fuller@rediffmail.com"/>
    <s v="134 Mcintosh Unions Suite 574, Lake Laura, DE 96577"/>
    <s v="OID8628"/>
    <d v="2024-02-09T00:00:00"/>
    <x v="10"/>
    <s v="10:20:44"/>
    <x v="31"/>
    <n v="157.63999999999999"/>
    <n v="5"/>
    <n v="788.19999999999993"/>
    <x v="4"/>
    <n v="0"/>
    <n v="788.19999999999993"/>
    <n v="7"/>
    <n v="824.19999999999993"/>
    <n v="36"/>
    <d v="2024-02-10T00:00:00"/>
    <s v="23:29:03"/>
    <n v="824.19999999999993"/>
    <n v="1"/>
    <s v="BeforeTime"/>
    <n v="788.19999999999993"/>
    <n v="0"/>
    <n v="0"/>
    <n v="0"/>
  </r>
  <r>
    <s v="CID155"/>
    <s v="Courtney"/>
    <s v="Parker"/>
    <x v="79"/>
    <n v="29"/>
    <x v="2"/>
    <x v="6"/>
    <s v="courtney.parker@yahoo.com"/>
    <s v="087 Jacqueline Rue Apt. 694, East Tasha, SC 04859"/>
    <s v="OID1833"/>
    <d v="2024-01-04T00:00:00"/>
    <x v="4"/>
    <s v="00:31:47"/>
    <x v="31"/>
    <n v="157.63999999999999"/>
    <n v="5"/>
    <n v="788.19999999999993"/>
    <x v="1"/>
    <n v="63.055999999999997"/>
    <n v="725.14399999999989"/>
    <n v="2"/>
    <n v="771.14399999999989"/>
    <n v="46"/>
    <d v="2024-01-10T00:00:00"/>
    <s v="11:06:01"/>
    <n v="834.19999999999993"/>
    <n v="6"/>
    <s v="Late"/>
    <n v="788.19999999999993"/>
    <n v="0.08"/>
    <n v="63.055999999999997"/>
    <n v="109.056"/>
  </r>
  <r>
    <s v="CID101"/>
    <s v="Bobby"/>
    <s v="Forbes"/>
    <x v="68"/>
    <n v="20"/>
    <x v="1"/>
    <x v="6"/>
    <s v="bobby.forbes@gmail.com"/>
    <s v="3079 John Parkway Suite 961, Port Kristaview, MT 91019"/>
    <s v="OID3136"/>
    <d v="2024-07-25T00:00:00"/>
    <x v="6"/>
    <s v="15:09:49"/>
    <x v="26"/>
    <n v="257.06"/>
    <n v="3"/>
    <n v="771.18000000000006"/>
    <x v="4"/>
    <n v="0"/>
    <n v="771.18000000000006"/>
    <n v="7"/>
    <n v="833.18000000000006"/>
    <n v="62"/>
    <d v="2024-07-26T00:00:00"/>
    <s v="22:54:40"/>
    <n v="833.18000000000006"/>
    <n v="1"/>
    <s v="BeforeTime"/>
    <n v="771.18000000000006"/>
    <n v="0"/>
    <n v="0"/>
    <n v="0"/>
  </r>
  <r>
    <s v="CID147"/>
    <s v="Mallory"/>
    <s v="Mitchell"/>
    <x v="85"/>
    <n v="42"/>
    <x v="0"/>
    <x v="2"/>
    <s v="mallory.mitchell@yahoo.com"/>
    <s v="710 Anthony Wall Suite 137, East Davidstad, NV 61494"/>
    <s v="OID5210"/>
    <d v="2023-12-23T00:00:00"/>
    <x v="7"/>
    <s v="10:48:56"/>
    <x v="26"/>
    <n v="257.06"/>
    <n v="3"/>
    <n v="771.18000000000006"/>
    <x v="1"/>
    <n v="61.694400000000009"/>
    <n v="709.48560000000009"/>
    <n v="6"/>
    <n v="774.48560000000009"/>
    <n v="65"/>
    <d v="2023-12-29T00:00:00"/>
    <s v="05:48:39"/>
    <n v="836.18000000000006"/>
    <n v="6"/>
    <s v="Intime"/>
    <n v="771.18000000000006"/>
    <n v="0.08"/>
    <n v="61.694400000000009"/>
    <n v="126.6944"/>
  </r>
  <r>
    <s v="CID191"/>
    <s v="Lauren"/>
    <s v="Long"/>
    <x v="5"/>
    <n v="44"/>
    <x v="1"/>
    <x v="3"/>
    <s v="lauren.long@gmail.com"/>
    <s v="258 Michael Brooks Suite 363, Arnoldview, PA 49438"/>
    <s v="OID3550"/>
    <d v="2024-02-26T00:00:00"/>
    <x v="10"/>
    <s v="06:30:57"/>
    <x v="26"/>
    <n v="257.06"/>
    <n v="3"/>
    <n v="771.18000000000006"/>
    <x v="4"/>
    <n v="0"/>
    <n v="771.18000000000006"/>
    <n v="5"/>
    <n v="834.18000000000006"/>
    <n v="63"/>
    <d v="2024-03-03T00:00:00"/>
    <s v="08:01:14"/>
    <n v="834.18000000000006"/>
    <n v="6"/>
    <s v="Late"/>
    <n v="771.18000000000006"/>
    <n v="0"/>
    <n v="0"/>
    <n v="0"/>
  </r>
  <r>
    <s v="CID176"/>
    <s v="Joshua"/>
    <s v="Campbell"/>
    <x v="50"/>
    <n v="24"/>
    <x v="1"/>
    <x v="5"/>
    <s v="joshua.campbell@gmail.com"/>
    <s v="70426 Lindsey Overpass Apt. 030, Jessicafurt, AR 46269"/>
    <s v="OID4548"/>
    <d v="2023-03-18T00:00:00"/>
    <x v="5"/>
    <s v="14:00:52"/>
    <x v="11"/>
    <n v="381.73"/>
    <n v="2"/>
    <n v="763.46"/>
    <x v="4"/>
    <n v="0"/>
    <n v="763.46"/>
    <n v="6"/>
    <n v="804.46"/>
    <n v="41"/>
    <d v="2023-03-23T00:00:00"/>
    <s v="04:39:06"/>
    <n v="804.46"/>
    <n v="5"/>
    <s v="BeforeTime"/>
    <n v="763.46"/>
    <n v="0"/>
    <n v="0"/>
    <n v="0"/>
  </r>
  <r>
    <s v="CID140"/>
    <s v="Beth"/>
    <s v="Mason"/>
    <x v="62"/>
    <n v="45"/>
    <x v="2"/>
    <x v="6"/>
    <s v="beth.mason@outlook.com"/>
    <s v="58998 Sherry Haven, East Richard, FL 90775"/>
    <s v="OID6057"/>
    <d v="2023-05-14T00:00:00"/>
    <x v="1"/>
    <s v="12:51:15"/>
    <x v="11"/>
    <n v="381.73"/>
    <n v="2"/>
    <n v="763.46"/>
    <x v="4"/>
    <n v="0"/>
    <n v="763.46"/>
    <n v="5"/>
    <n v="801.46"/>
    <n v="38"/>
    <d v="2023-05-20T00:00:00"/>
    <s v="23:34:55"/>
    <n v="801.46"/>
    <n v="6"/>
    <s v="Late"/>
    <n v="763.46"/>
    <n v="0"/>
    <n v="0"/>
    <n v="0"/>
  </r>
  <r>
    <s v="CID166"/>
    <s v="Taylor"/>
    <s v="Davis"/>
    <x v="86"/>
    <n v="54"/>
    <x v="0"/>
    <x v="0"/>
    <s v="taylor.davis@yahoo.com"/>
    <s v="USCGC Simmons, FPO AA 60167"/>
    <s v="OID4097"/>
    <d v="2023-06-28T00:00:00"/>
    <x v="8"/>
    <s v="18:03:08"/>
    <x v="11"/>
    <n v="381.73"/>
    <n v="2"/>
    <n v="763.46"/>
    <x v="3"/>
    <n v="114.51900000000001"/>
    <n v="648.94100000000003"/>
    <n v="3"/>
    <n v="718.94100000000003"/>
    <n v="70"/>
    <d v="2023-07-05T00:00:00"/>
    <s v="10:45:58"/>
    <n v="833.46"/>
    <n v="7"/>
    <s v="Late"/>
    <n v="763.46"/>
    <n v="0.15"/>
    <n v="114.51900000000001"/>
    <n v="184.51900000000001"/>
  </r>
  <r>
    <s v="CID116"/>
    <s v="John"/>
    <s v="Ramirez"/>
    <x v="26"/>
    <n v="28"/>
    <x v="2"/>
    <x v="7"/>
    <s v="john.ramirez@outlook.com"/>
    <s v="02797 Martin Landing, South Michelle, VT 98781"/>
    <s v="OID7454"/>
    <d v="2024-01-31T00:00:00"/>
    <x v="4"/>
    <s v="06:13:30"/>
    <x v="11"/>
    <n v="381.73"/>
    <n v="2"/>
    <n v="763.46"/>
    <x v="3"/>
    <n v="114.51900000000001"/>
    <n v="648.94100000000003"/>
    <n v="2"/>
    <n v="716.94100000000003"/>
    <n v="68"/>
    <d v="2024-02-07T00:00:00"/>
    <s v="00:33:32"/>
    <n v="831.46"/>
    <n v="7"/>
    <s v="Late"/>
    <n v="763.46"/>
    <n v="0.15"/>
    <n v="114.51900000000001"/>
    <n v="182.51900000000001"/>
  </r>
  <r>
    <s v="CID157"/>
    <s v="Sarah"/>
    <s v="Benson"/>
    <x v="19"/>
    <n v="40"/>
    <x v="2"/>
    <x v="3"/>
    <s v="sarah.benson@outlook.com"/>
    <s v="5399 Hayes Well, West Pennystad, IL 93798"/>
    <s v="OID9222"/>
    <d v="2023-04-24T00:00:00"/>
    <x v="0"/>
    <s v="11:38:36"/>
    <x v="12"/>
    <n v="372.62"/>
    <n v="2"/>
    <n v="745.24"/>
    <x v="0"/>
    <n v="149.048"/>
    <n v="596.19200000000001"/>
    <n v="2"/>
    <n v="643.19200000000001"/>
    <n v="47"/>
    <d v="2023-04-25T00:00:00"/>
    <s v="21:12:03"/>
    <n v="792.24"/>
    <n v="1"/>
    <s v="BeforeTime"/>
    <n v="745.24"/>
    <n v="0.2"/>
    <n v="149.048"/>
    <n v="196.048"/>
  </r>
  <r>
    <s v="CID107"/>
    <s v="Lisa"/>
    <s v="Miller"/>
    <x v="37"/>
    <n v="70"/>
    <x v="0"/>
    <x v="6"/>
    <s v="lisa.miller@gmail.com"/>
    <s v="89748 Campbell Drive, South Tannerland, WI 13143"/>
    <s v="OID7457"/>
    <d v="2024-03-28T00:00:00"/>
    <x v="5"/>
    <s v="13:25:17"/>
    <x v="12"/>
    <n v="372.62"/>
    <n v="2"/>
    <n v="745.24"/>
    <x v="2"/>
    <n v="74.524000000000001"/>
    <n v="670.71600000000001"/>
    <n v="4"/>
    <n v="727.71600000000001"/>
    <n v="57"/>
    <d v="2024-03-31T00:00:00"/>
    <s v="13:52:42"/>
    <n v="802.24"/>
    <n v="3"/>
    <s v="BeforeTime"/>
    <n v="745.24"/>
    <n v="0.1"/>
    <n v="74.524000000000001"/>
    <n v="131.524"/>
  </r>
  <r>
    <s v="CID190"/>
    <s v="Valerie"/>
    <s v="Carr"/>
    <x v="10"/>
    <n v="26"/>
    <x v="2"/>
    <x v="2"/>
    <s v="valerie.carr@rediffmail.com"/>
    <s v="981 Emily Stream, South Brianna, CO 98063"/>
    <s v="OID4770"/>
    <d v="2024-01-21T00:00:00"/>
    <x v="4"/>
    <s v="12:30:02"/>
    <x v="17"/>
    <n v="369.03"/>
    <n v="2"/>
    <n v="738.06"/>
    <x v="2"/>
    <n v="73.805999999999997"/>
    <n v="664.25399999999991"/>
    <n v="4"/>
    <n v="710.25399999999991"/>
    <n v="46"/>
    <d v="2024-01-27T00:00:00"/>
    <s v="07:53:31"/>
    <n v="784.06"/>
    <n v="6"/>
    <s v="Late"/>
    <n v="738.06"/>
    <n v="0.1"/>
    <n v="73.805999999999997"/>
    <n v="119.806"/>
  </r>
  <r>
    <s v="CID194"/>
    <s v="Barbara"/>
    <s v="Fuller"/>
    <x v="12"/>
    <n v="43"/>
    <x v="2"/>
    <x v="5"/>
    <s v="barbara.fuller@rediffmail.com"/>
    <s v="134 Mcintosh Unions Suite 574, Lake Laura, DE 96577"/>
    <s v="OID8860"/>
    <d v="2023-02-21T00:00:00"/>
    <x v="10"/>
    <s v="06:00:55"/>
    <x v="17"/>
    <n v="369.03"/>
    <n v="2"/>
    <n v="738.06"/>
    <x v="2"/>
    <n v="73.805999999999997"/>
    <n v="664.25399999999991"/>
    <n v="6"/>
    <n v="719.25399999999991"/>
    <n v="55"/>
    <d v="2023-02-24T00:00:00"/>
    <s v="22:23:18"/>
    <n v="793.06"/>
    <n v="3"/>
    <s v="BeforeTime"/>
    <n v="738.06"/>
    <n v="0.1"/>
    <n v="73.805999999999997"/>
    <n v="128.80599999999998"/>
  </r>
  <r>
    <s v="CID193"/>
    <s v="Ashley"/>
    <s v="Rose"/>
    <x v="42"/>
    <n v="60"/>
    <x v="2"/>
    <x v="0"/>
    <s v="ashley.rose@gmail.com"/>
    <s v="424 Nichols Curve Suite 177, Lake Brianview, TX 17289"/>
    <s v="OID2817"/>
    <d v="2023-03-02T00:00:00"/>
    <x v="5"/>
    <s v="12:22:52"/>
    <x v="14"/>
    <n v="363.64"/>
    <n v="2"/>
    <n v="727.28"/>
    <x v="3"/>
    <n v="109.092"/>
    <n v="618.18799999999999"/>
    <n v="1"/>
    <n v="661.18799999999999"/>
    <n v="43"/>
    <d v="2023-03-03T00:00:00"/>
    <s v="08:01:21"/>
    <n v="770.28"/>
    <n v="1"/>
    <s v="Intime"/>
    <n v="727.28"/>
    <n v="0.15"/>
    <n v="109.092"/>
    <n v="152.09199999999998"/>
  </r>
  <r>
    <s v="CID195"/>
    <s v="Sarah"/>
    <s v="Butler"/>
    <x v="64"/>
    <n v="64"/>
    <x v="1"/>
    <x v="0"/>
    <s v="sarah.butler@rediffmail.com"/>
    <s v="14131 Edwin Shore Apt. 190, Deniseberg, MD 90905"/>
    <s v="OID4506"/>
    <d v="2023-06-12T00:00:00"/>
    <x v="8"/>
    <s v="16:54:11"/>
    <x v="14"/>
    <n v="363.64"/>
    <n v="2"/>
    <n v="727.28"/>
    <x v="4"/>
    <n v="0"/>
    <n v="727.28"/>
    <n v="4"/>
    <n v="767.28"/>
    <n v="40"/>
    <d v="2023-06-14T00:00:00"/>
    <s v="18:09:14"/>
    <n v="767.28"/>
    <n v="2"/>
    <s v="BeforeTime"/>
    <n v="727.28"/>
    <n v="0"/>
    <n v="0"/>
    <n v="0"/>
  </r>
  <r>
    <s v="CID179"/>
    <s v="Christian"/>
    <s v="Clayton"/>
    <x v="16"/>
    <n v="39"/>
    <x v="0"/>
    <x v="5"/>
    <s v="christian.clayton@yahoo.com"/>
    <s v="065 Madison Way, Smithstad, CT 68011"/>
    <s v="OID9805"/>
    <d v="2024-09-06T00:00:00"/>
    <x v="9"/>
    <s v="23:35:16"/>
    <x v="14"/>
    <n v="363.64"/>
    <n v="2"/>
    <n v="727.28"/>
    <x v="0"/>
    <n v="145.45599999999999"/>
    <n v="581.82399999999996"/>
    <n v="6"/>
    <n v="618.82399999999996"/>
    <n v="37"/>
    <d v="2024-09-09T00:00:00"/>
    <s v="01:46:46"/>
    <n v="764.28"/>
    <n v="3"/>
    <s v="BeforeTime"/>
    <n v="727.28"/>
    <n v="0.2"/>
    <n v="145.45599999999999"/>
    <n v="182.45599999999999"/>
  </r>
  <r>
    <s v="CID170"/>
    <s v="Bruce"/>
    <s v="Allen"/>
    <x v="0"/>
    <n v="32"/>
    <x v="0"/>
    <x v="0"/>
    <s v="bruce.allen@rediffmail.com"/>
    <s v="2417 Brown Ford, West Timothyside, RI 45629"/>
    <s v="OID8716"/>
    <d v="2024-02-21T00:00:00"/>
    <x v="10"/>
    <s v="03:08:05"/>
    <x v="22"/>
    <n v="235.63"/>
    <n v="3"/>
    <n v="706.89"/>
    <x v="2"/>
    <n v="70.689000000000007"/>
    <n v="636.20100000000002"/>
    <n v="5"/>
    <n v="680.20100000000002"/>
    <n v="44"/>
    <d v="2024-02-25T00:00:00"/>
    <s v="04:04:13"/>
    <n v="750.89"/>
    <n v="4"/>
    <s v="BeforeTime"/>
    <n v="706.89"/>
    <n v="0.1"/>
    <n v="70.689000000000007"/>
    <n v="114.68900000000001"/>
  </r>
  <r>
    <s v="CID114"/>
    <s v="Lauren"/>
    <s v="Crane"/>
    <x v="3"/>
    <n v="62"/>
    <x v="0"/>
    <x v="1"/>
    <s v="lauren.crane@yahoo.com"/>
    <s v="30313 Reyes Parkways Suite 392, Port Bradley, SC 24078"/>
    <s v="OID1869"/>
    <d v="2024-04-11T00:00:00"/>
    <x v="0"/>
    <s v="12:14:10"/>
    <x v="22"/>
    <n v="235.63"/>
    <n v="3"/>
    <n v="706.89"/>
    <x v="4"/>
    <n v="0"/>
    <n v="706.89"/>
    <n v="6"/>
    <n v="747.89"/>
    <n v="41"/>
    <d v="2024-04-16T00:00:00"/>
    <s v="03:34:04"/>
    <n v="747.89"/>
    <n v="5"/>
    <s v="BeforeTime"/>
    <n v="706.89"/>
    <n v="0"/>
    <n v="0"/>
    <n v="0"/>
  </r>
  <r>
    <s v="CID105"/>
    <s v="Joseph"/>
    <s v="Stewart"/>
    <x v="21"/>
    <n v="30"/>
    <x v="0"/>
    <x v="1"/>
    <s v="joseph.stewart@yahoo.com"/>
    <s v="4082 Wang Terrace Suite 040, Victorialand, ME 41532"/>
    <s v="OID6886"/>
    <d v="2023-03-12T00:00:00"/>
    <x v="5"/>
    <s v="22:42:51"/>
    <x v="29"/>
    <n v="175.93"/>
    <n v="4"/>
    <n v="703.72"/>
    <x v="1"/>
    <n v="56.297600000000003"/>
    <n v="647.42240000000004"/>
    <n v="3"/>
    <n v="712.42240000000004"/>
    <n v="65"/>
    <d v="2023-03-14T00:00:00"/>
    <s v="13:19:45"/>
    <n v="768.72"/>
    <n v="2"/>
    <s v="BeforeTime"/>
    <n v="703.72"/>
    <n v="0.08"/>
    <n v="56.297600000000003"/>
    <n v="121.2976"/>
  </r>
  <r>
    <s v="CID172"/>
    <s v="Kara"/>
    <s v="Brennan"/>
    <x v="77"/>
    <n v="25"/>
    <x v="2"/>
    <x v="7"/>
    <s v="kara.brennan@outlook.com"/>
    <s v="2174 Thomas Avenue, Maciasborough, NJ 41465"/>
    <s v="OID7754"/>
    <d v="2023-06-13T00:00:00"/>
    <x v="8"/>
    <s v="12:34:36"/>
    <x v="29"/>
    <n v="175.93"/>
    <n v="4"/>
    <n v="703.72"/>
    <x v="0"/>
    <n v="140.744"/>
    <n v="562.976"/>
    <n v="6"/>
    <n v="607.976"/>
    <n v="45"/>
    <d v="2023-06-20T00:00:00"/>
    <s v="10:14:17"/>
    <n v="748.72"/>
    <n v="7"/>
    <s v="Late"/>
    <n v="703.72"/>
    <n v="0.2"/>
    <n v="140.744"/>
    <n v="185.744"/>
  </r>
  <r>
    <s v="CID156"/>
    <s v="Gregory"/>
    <s v="Lee"/>
    <x v="87"/>
    <n v="26"/>
    <x v="2"/>
    <x v="4"/>
    <s v="gregory.lee@rediffmail.com"/>
    <s v="619 Parker Turnpike Apt. 025, West Brucehaven, ID 48437"/>
    <s v="OID8225"/>
    <d v="2023-11-08T00:00:00"/>
    <x v="2"/>
    <s v="10:41:43"/>
    <x v="29"/>
    <n v="175.93"/>
    <n v="4"/>
    <n v="703.72"/>
    <x v="0"/>
    <n v="140.744"/>
    <n v="562.976"/>
    <n v="6"/>
    <n v="616.976"/>
    <n v="54"/>
    <d v="2023-11-10T00:00:00"/>
    <s v="19:20:26"/>
    <n v="757.72"/>
    <n v="2"/>
    <s v="BeforeTime"/>
    <n v="703.72"/>
    <n v="0.2"/>
    <n v="140.744"/>
    <n v="194.744"/>
  </r>
  <r>
    <s v="CID195"/>
    <s v="Sarah"/>
    <s v="Butler"/>
    <x v="64"/>
    <n v="64"/>
    <x v="1"/>
    <x v="0"/>
    <s v="sarah.butler@rediffmail.com"/>
    <s v="14131 Edwin Shore Apt. 190, Deniseberg, MD 90905"/>
    <s v="OID8869"/>
    <d v="2024-07-30T00:00:00"/>
    <x v="6"/>
    <s v="20:59:40"/>
    <x v="32"/>
    <n v="136.30000000000001"/>
    <n v="5"/>
    <n v="681.5"/>
    <x v="3"/>
    <n v="102.22499999999999"/>
    <n v="579.27499999999998"/>
    <n v="6"/>
    <n v="618.27499999999998"/>
    <n v="39"/>
    <d v="2024-08-06T00:00:00"/>
    <s v="23:33:51"/>
    <n v="720.5"/>
    <n v="7"/>
    <s v="Late"/>
    <n v="681.5"/>
    <n v="0.15"/>
    <n v="102.22499999999999"/>
    <n v="141.22499999999999"/>
  </r>
  <r>
    <s v="CID144"/>
    <s v="William"/>
    <s v="Mann"/>
    <x v="71"/>
    <n v="21"/>
    <x v="1"/>
    <x v="1"/>
    <s v="william.mann@yahoo.com"/>
    <s v="849 Tran Wells, New Lindsayville, WI 22669"/>
    <s v="OID9743"/>
    <d v="2024-08-26T00:00:00"/>
    <x v="3"/>
    <s v="15:04:45"/>
    <x v="33"/>
    <n v="133.62"/>
    <n v="5"/>
    <n v="668.1"/>
    <x v="3"/>
    <n v="100.215"/>
    <n v="567.88499999999999"/>
    <n v="6"/>
    <n v="631.88499999999999"/>
    <n v="64"/>
    <d v="2024-08-28T00:00:00"/>
    <s v="19:43:27"/>
    <n v="732.1"/>
    <n v="2"/>
    <s v="BeforeTime"/>
    <n v="668.1"/>
    <n v="0.15"/>
    <n v="100.215"/>
    <n v="164.215"/>
  </r>
  <r>
    <s v="CID186"/>
    <s v="Anne"/>
    <s v="Oconnell"/>
    <x v="40"/>
    <n v="37"/>
    <x v="1"/>
    <x v="0"/>
    <s v="anne.oconnell@outlook.com"/>
    <s v="2850 Matthew Ford, North Yolandachester, FL 67488"/>
    <s v="OID4014"/>
    <d v="2023-06-18T00:00:00"/>
    <x v="8"/>
    <s v="21:06:59"/>
    <x v="33"/>
    <n v="133.62"/>
    <n v="5"/>
    <n v="668.1"/>
    <x v="4"/>
    <n v="0"/>
    <n v="668.1"/>
    <n v="7"/>
    <n v="726.1"/>
    <n v="58"/>
    <d v="2023-06-21T00:00:00"/>
    <s v="00:33:10"/>
    <n v="726.1"/>
    <n v="3"/>
    <s v="BeforeTime"/>
    <n v="668.1"/>
    <n v="0"/>
    <n v="0"/>
    <n v="0"/>
  </r>
  <r>
    <s v="CID150"/>
    <s v="Anthony"/>
    <s v="Thomas"/>
    <x v="76"/>
    <n v="53"/>
    <x v="0"/>
    <x v="1"/>
    <s v="anthony.thomas@rediffmail.com"/>
    <s v="931 Christopher Ways Suite 833, North Michelle, IN 53484"/>
    <s v="OID7056"/>
    <d v="2024-03-27T00:00:00"/>
    <x v="5"/>
    <s v="01:46:33"/>
    <x v="34"/>
    <n v="166.28"/>
    <n v="4"/>
    <n v="665.12"/>
    <x v="1"/>
    <n v="53.209600000000002"/>
    <n v="611.91039999999998"/>
    <n v="7"/>
    <n v="677.91039999999998"/>
    <n v="66"/>
    <d v="2024-03-30T00:00:00"/>
    <s v="18:46:26"/>
    <n v="731.12"/>
    <n v="3"/>
    <s v="BeforeTime"/>
    <n v="665.12"/>
    <n v="0.08"/>
    <n v="53.209600000000002"/>
    <n v="119.20959999999999"/>
  </r>
  <r>
    <s v="CID187"/>
    <s v="Jason"/>
    <s v="Lopez"/>
    <x v="14"/>
    <n v="40"/>
    <x v="2"/>
    <x v="2"/>
    <s v="jason.lopez@outlook.com"/>
    <s v="934 Levine View, Brentport, NE 38210"/>
    <s v="OID6503"/>
    <d v="2024-11-24T00:00:00"/>
    <x v="2"/>
    <s v="00:57:17"/>
    <x v="34"/>
    <n v="166.28"/>
    <n v="4"/>
    <n v="665.12"/>
    <x v="4"/>
    <n v="0"/>
    <n v="665.12"/>
    <n v="3"/>
    <n v="706.12"/>
    <n v="41"/>
    <d v="2024-11-30T00:00:00"/>
    <s v="09:51:58"/>
    <n v="706.12"/>
    <n v="6"/>
    <s v="Late"/>
    <n v="665.12"/>
    <n v="0"/>
    <n v="0"/>
    <n v="0"/>
  </r>
  <r>
    <s v="CID118"/>
    <s v="Amy"/>
    <s v="Ellis"/>
    <x v="44"/>
    <n v="44"/>
    <x v="2"/>
    <x v="6"/>
    <s v="amy.ellis@gmail.com"/>
    <s v="217 Scott Ville, Christophermouth, NH 83776"/>
    <s v="OID1663"/>
    <d v="2023-09-17T00:00:00"/>
    <x v="9"/>
    <s v="11:18:01"/>
    <x v="34"/>
    <n v="166.28"/>
    <n v="4"/>
    <n v="665.12"/>
    <x v="0"/>
    <n v="133.024"/>
    <n v="532.096"/>
    <n v="6"/>
    <n v="568.096"/>
    <n v="36"/>
    <d v="2023-09-24T00:00:00"/>
    <s v="06:56:11"/>
    <n v="701.12"/>
    <n v="7"/>
    <s v="Late"/>
    <n v="665.12"/>
    <n v="0.2"/>
    <n v="133.024"/>
    <n v="169.024"/>
  </r>
  <r>
    <s v="CID145"/>
    <s v="Ashley"/>
    <s v="Romero"/>
    <x v="88"/>
    <n v="35"/>
    <x v="1"/>
    <x v="0"/>
    <s v="ashley.romero@yahoo.com"/>
    <s v="547 Kerry Expressway, Lake Amanda, AR 20321"/>
    <s v="OID6869"/>
    <d v="2023-11-23T00:00:00"/>
    <x v="2"/>
    <s v="00:02:50"/>
    <x v="34"/>
    <n v="166.28"/>
    <n v="4"/>
    <n v="665.12"/>
    <x v="2"/>
    <n v="66.512"/>
    <n v="598.60799999999995"/>
    <n v="4"/>
    <n v="642.60799999999995"/>
    <n v="44"/>
    <d v="2023-11-27T00:00:00"/>
    <s v="20:49:10"/>
    <n v="709.12"/>
    <n v="4"/>
    <s v="Intime"/>
    <n v="665.12"/>
    <n v="0.1"/>
    <n v="66.512"/>
    <n v="110.512"/>
  </r>
  <r>
    <s v="CID156"/>
    <s v="Gregory"/>
    <s v="Lee"/>
    <x v="87"/>
    <n v="26"/>
    <x v="2"/>
    <x v="4"/>
    <s v="gregory.lee@rediffmail.com"/>
    <s v="619 Parker Turnpike Apt. 025, West Brucehaven, ID 48437"/>
    <s v="OID8692"/>
    <d v="2024-06-07T00:00:00"/>
    <x v="8"/>
    <s v="02:04:13"/>
    <x v="35"/>
    <n v="132.97"/>
    <n v="5"/>
    <n v="664.85"/>
    <x v="0"/>
    <n v="132.97"/>
    <n v="531.88"/>
    <n v="3"/>
    <n v="576.88"/>
    <n v="45"/>
    <d v="2024-06-09T00:00:00"/>
    <s v="19:20:55"/>
    <n v="709.85"/>
    <n v="2"/>
    <s v="BeforeTime"/>
    <n v="664.85"/>
    <n v="0.2"/>
    <n v="132.97"/>
    <n v="177.97"/>
  </r>
  <r>
    <s v="CID108"/>
    <s v="Teresa"/>
    <s v="Harvey"/>
    <x v="70"/>
    <n v="64"/>
    <x v="2"/>
    <x v="0"/>
    <s v="teresa.harvey@gmail.com"/>
    <s v="02669 Kirk Squares, Davisville, VA 51272"/>
    <s v="OID9257"/>
    <d v="2023-07-22T00:00:00"/>
    <x v="6"/>
    <s v="18:37:45"/>
    <x v="25"/>
    <n v="220.27"/>
    <n v="3"/>
    <n v="660.81000000000006"/>
    <x v="1"/>
    <n v="52.864800000000002"/>
    <n v="607.94520000000011"/>
    <n v="6"/>
    <n v="655.94520000000011"/>
    <n v="48"/>
    <d v="2023-07-25T00:00:00"/>
    <s v="02:32:24"/>
    <n v="708.81000000000006"/>
    <n v="3"/>
    <s v="BeforeTime"/>
    <n v="660.81000000000006"/>
    <n v="0.08"/>
    <n v="52.864800000000002"/>
    <n v="100.8648"/>
  </r>
  <r>
    <s v="CID172"/>
    <s v="Kara"/>
    <s v="Brennan"/>
    <x v="77"/>
    <n v="25"/>
    <x v="2"/>
    <x v="7"/>
    <s v="kara.brennan@outlook.com"/>
    <s v="2174 Thomas Avenue, Maciasborough, NJ 41465"/>
    <s v="OID4613"/>
    <d v="2023-06-30T00:00:00"/>
    <x v="8"/>
    <s v="10:24:01"/>
    <x v="25"/>
    <n v="220.27"/>
    <n v="3"/>
    <n v="660.81000000000006"/>
    <x v="4"/>
    <n v="0"/>
    <n v="660.81000000000006"/>
    <n v="4"/>
    <n v="710.81000000000006"/>
    <n v="50"/>
    <d v="2023-07-01T00:00:00"/>
    <s v="06:25:35"/>
    <n v="710.81000000000006"/>
    <n v="1"/>
    <s v="BeforeTime"/>
    <n v="660.81000000000006"/>
    <n v="0"/>
    <n v="0"/>
    <n v="0"/>
  </r>
  <r>
    <s v="CID144"/>
    <s v="William"/>
    <s v="Mann"/>
    <x v="71"/>
    <n v="21"/>
    <x v="1"/>
    <x v="1"/>
    <s v="william.mann@yahoo.com"/>
    <s v="849 Tran Wells, New Lindsayville, WI 22669"/>
    <s v="OID5605"/>
    <d v="2023-04-25T00:00:00"/>
    <x v="0"/>
    <s v="01:05:15"/>
    <x v="21"/>
    <n v="330.11"/>
    <n v="2"/>
    <n v="660.22"/>
    <x v="1"/>
    <n v="52.817600000000006"/>
    <n v="607.40240000000006"/>
    <n v="3"/>
    <n v="671.40240000000006"/>
    <n v="64"/>
    <d v="2023-04-30T00:00:00"/>
    <s v="13:48:26"/>
    <n v="724.22"/>
    <n v="5"/>
    <s v="Late"/>
    <n v="660.22"/>
    <n v="0.08"/>
    <n v="52.817600000000006"/>
    <n v="116.8176"/>
  </r>
  <r>
    <s v="CID135"/>
    <s v="Amanda"/>
    <s v="Howard"/>
    <x v="60"/>
    <n v="52"/>
    <x v="2"/>
    <x v="3"/>
    <s v="amanda.howard@outlook.com"/>
    <s v="56908 Sydney Park Suite 632, West Anthonyport, NC 15954"/>
    <s v="OID2440"/>
    <d v="2023-02-18T00:00:00"/>
    <x v="10"/>
    <s v="08:26:50"/>
    <x v="21"/>
    <n v="330.11"/>
    <n v="2"/>
    <n v="660.22"/>
    <x v="4"/>
    <n v="0"/>
    <n v="660.22"/>
    <n v="3"/>
    <n v="715.22"/>
    <n v="55"/>
    <d v="2023-02-19T00:00:00"/>
    <s v="19:28:55"/>
    <n v="715.22"/>
    <n v="1"/>
    <s v="BeforeTime"/>
    <n v="660.22"/>
    <n v="0"/>
    <n v="0"/>
    <n v="0"/>
  </r>
  <r>
    <s v="CID139"/>
    <s v="Joseph"/>
    <s v="Gaines"/>
    <x v="41"/>
    <n v="47"/>
    <x v="2"/>
    <x v="4"/>
    <s v="joseph.gaines@outlook.com"/>
    <s v="37549 Pope Isle Apt. 202, Tylerborough, MO 60042"/>
    <s v="OID1706"/>
    <d v="2023-05-05T00:00:00"/>
    <x v="1"/>
    <s v="19:48:44"/>
    <x v="36"/>
    <n v="129.75"/>
    <n v="5"/>
    <n v="648.75"/>
    <x v="4"/>
    <n v="0"/>
    <n v="648.75"/>
    <n v="3"/>
    <n v="691.75"/>
    <n v="43"/>
    <d v="2023-05-11T00:00:00"/>
    <s v="16:27:41"/>
    <n v="691.75"/>
    <n v="6"/>
    <s v="Late"/>
    <n v="648.75"/>
    <n v="0"/>
    <n v="0"/>
    <n v="0"/>
  </r>
  <r>
    <s v="CID189"/>
    <s v="Christine"/>
    <s v="Aguilar"/>
    <x v="58"/>
    <n v="46"/>
    <x v="1"/>
    <x v="0"/>
    <s v="christine.aguilar@gmail.com"/>
    <s v="3284 Martin Neck, Lopezville, NY 69154"/>
    <s v="OID9872"/>
    <d v="2023-05-05T00:00:00"/>
    <x v="1"/>
    <s v="08:20:59"/>
    <x v="36"/>
    <n v="129.75"/>
    <n v="5"/>
    <n v="648.75"/>
    <x v="0"/>
    <n v="129.75"/>
    <n v="519"/>
    <n v="6"/>
    <n v="557"/>
    <n v="38"/>
    <d v="2023-05-11T00:00:00"/>
    <s v="17:38:42"/>
    <n v="686.75"/>
    <n v="6"/>
    <s v="Intime"/>
    <n v="648.75"/>
    <n v="0.2"/>
    <n v="129.75"/>
    <n v="167.75"/>
  </r>
  <r>
    <s v="CID135"/>
    <s v="Amanda"/>
    <s v="Howard"/>
    <x v="60"/>
    <n v="52"/>
    <x v="2"/>
    <x v="3"/>
    <s v="amanda.howard@outlook.com"/>
    <s v="56908 Sydney Park Suite 632, West Anthonyport, NC 15954"/>
    <s v="OID8620"/>
    <d v="2023-08-07T00:00:00"/>
    <x v="3"/>
    <s v="01:45:28"/>
    <x v="37"/>
    <n v="128.13999999999999"/>
    <n v="5"/>
    <n v="640.69999999999993"/>
    <x v="3"/>
    <n v="96.10499999999999"/>
    <n v="544.59499999999991"/>
    <n v="2"/>
    <n v="601.59499999999991"/>
    <n v="57"/>
    <d v="2023-08-09T00:00:00"/>
    <s v="07:09:53"/>
    <n v="697.69999999999993"/>
    <n v="2"/>
    <s v="Intime"/>
    <n v="640.69999999999993"/>
    <n v="0.15"/>
    <n v="96.10499999999999"/>
    <n v="153.10499999999999"/>
  </r>
  <r>
    <s v="CID114"/>
    <s v="Lauren"/>
    <s v="Crane"/>
    <x v="3"/>
    <n v="62"/>
    <x v="0"/>
    <x v="1"/>
    <s v="lauren.crane@yahoo.com"/>
    <s v="30313 Reyes Parkways Suite 392, Port Bradley, SC 24078"/>
    <s v="OID8162"/>
    <d v="2025-01-21T00:00:00"/>
    <x v="4"/>
    <s v="07:24:54"/>
    <x v="37"/>
    <n v="128.13999999999999"/>
    <n v="5"/>
    <n v="640.69999999999993"/>
    <x v="0"/>
    <n v="128.13999999999999"/>
    <n v="512.55999999999995"/>
    <n v="7"/>
    <n v="580.55999999999995"/>
    <n v="68"/>
    <d v="2025-01-28T00:00:00"/>
    <s v="03:15:28"/>
    <n v="708.69999999999993"/>
    <n v="7"/>
    <s v="Intime"/>
    <n v="640.69999999999993"/>
    <n v="0.2"/>
    <n v="128.13999999999999"/>
    <n v="196.14"/>
  </r>
  <r>
    <s v="CID199"/>
    <s v="Lori"/>
    <s v="Cook"/>
    <x v="25"/>
    <n v="18"/>
    <x v="0"/>
    <x v="1"/>
    <s v="lori.cook@rediffmail.com"/>
    <s v="86837 Bell Meadows, North Jasonshire, UT 51354"/>
    <s v="OID2949"/>
    <d v="2023-12-13T00:00:00"/>
    <x v="7"/>
    <s v="09:55:21"/>
    <x v="38"/>
    <n v="126.19"/>
    <n v="5"/>
    <n v="630.95000000000005"/>
    <x v="2"/>
    <n v="63.095000000000006"/>
    <n v="567.85500000000002"/>
    <n v="4"/>
    <n v="614.85500000000002"/>
    <n v="47"/>
    <d v="2023-12-20T00:00:00"/>
    <s v="22:38:31"/>
    <n v="677.95"/>
    <n v="7"/>
    <s v="Late"/>
    <n v="630.95000000000005"/>
    <n v="0.1"/>
    <n v="63.095000000000006"/>
    <n v="110.095"/>
  </r>
  <r>
    <s v="CID108"/>
    <s v="Teresa"/>
    <s v="Harvey"/>
    <x v="70"/>
    <n v="64"/>
    <x v="2"/>
    <x v="0"/>
    <s v="teresa.harvey@gmail.com"/>
    <s v="02669 Kirk Squares, Davisville, VA 51272"/>
    <s v="OID9577"/>
    <d v="2023-04-23T00:00:00"/>
    <x v="0"/>
    <s v="10:35:41"/>
    <x v="31"/>
    <n v="157.63999999999999"/>
    <n v="4"/>
    <n v="630.55999999999995"/>
    <x v="0"/>
    <n v="126.11199999999999"/>
    <n v="504.44799999999998"/>
    <n v="7"/>
    <n v="563.44799999999998"/>
    <n v="59"/>
    <d v="2023-04-30T00:00:00"/>
    <s v="09:28:47"/>
    <n v="689.56"/>
    <n v="7"/>
    <s v="Intime"/>
    <n v="630.55999999999995"/>
    <n v="0.2"/>
    <n v="126.11199999999999"/>
    <n v="185.11199999999999"/>
  </r>
  <r>
    <s v="CID184"/>
    <s v="Aaron"/>
    <s v="Thompson"/>
    <x v="9"/>
    <n v="47"/>
    <x v="0"/>
    <x v="6"/>
    <s v="aaron.thompson@gmail.com"/>
    <s v="PSC 0550, Box 2737, APO AE 75772"/>
    <s v="OID7606"/>
    <d v="2023-05-08T00:00:00"/>
    <x v="1"/>
    <s v="19:20:51"/>
    <x v="31"/>
    <n v="157.63999999999999"/>
    <n v="4"/>
    <n v="630.55999999999995"/>
    <x v="1"/>
    <n v="50.444799999999994"/>
    <n v="580.11519999999996"/>
    <n v="4"/>
    <n v="624.11519999999996"/>
    <n v="44"/>
    <d v="2023-05-15T00:00:00"/>
    <s v="07:23:46"/>
    <n v="674.56"/>
    <n v="7"/>
    <s v="Late"/>
    <n v="630.55999999999995"/>
    <n v="0.08"/>
    <n v="50.444799999999994"/>
    <n v="94.444799999999987"/>
  </r>
  <r>
    <s v="CID130"/>
    <s v="Debra"/>
    <s v="Rodriguez"/>
    <x v="89"/>
    <n v="48"/>
    <x v="2"/>
    <x v="1"/>
    <s v="debra.rodriguez@rediffmail.com"/>
    <s v="Unit 5964 Box 0721, DPO AP 01840"/>
    <s v="OID3727"/>
    <d v="2025-01-04T00:00:00"/>
    <x v="4"/>
    <s v="21:06:59"/>
    <x v="31"/>
    <n v="157.63999999999999"/>
    <n v="4"/>
    <n v="630.55999999999995"/>
    <x v="4"/>
    <n v="0"/>
    <n v="630.55999999999995"/>
    <n v="7"/>
    <n v="672.56"/>
    <n v="42"/>
    <d v="2025-01-06T00:00:00"/>
    <s v="07:58:32"/>
    <n v="672.56"/>
    <n v="2"/>
    <s v="BeforeTime"/>
    <n v="630.55999999999995"/>
    <n v="0"/>
    <n v="0"/>
    <n v="0"/>
  </r>
  <r>
    <s v="CID156"/>
    <s v="Gregory"/>
    <s v="Lee"/>
    <x v="87"/>
    <n v="26"/>
    <x v="2"/>
    <x v="4"/>
    <s v="gregory.lee@rediffmail.com"/>
    <s v="619 Parker Turnpike Apt. 025, West Brucehaven, ID 48437"/>
    <s v="OID7866"/>
    <d v="2024-05-20T00:00:00"/>
    <x v="1"/>
    <s v="18:15:56"/>
    <x v="16"/>
    <n v="308.88"/>
    <n v="2"/>
    <n v="617.76"/>
    <x v="0"/>
    <n v="123.55200000000001"/>
    <n v="494.20799999999997"/>
    <n v="4"/>
    <n v="555.20799999999997"/>
    <n v="61"/>
    <d v="2024-05-24T00:00:00"/>
    <s v="04:57:03"/>
    <n v="678.76"/>
    <n v="4"/>
    <s v="Intime"/>
    <n v="617.76"/>
    <n v="0.2"/>
    <n v="123.55200000000001"/>
    <n v="184.55200000000002"/>
  </r>
  <r>
    <s v="CID197"/>
    <s v="Gary"/>
    <s v="Jacobs"/>
    <x v="90"/>
    <n v="64"/>
    <x v="0"/>
    <x v="4"/>
    <s v="gary.jacobs@gmail.com"/>
    <s v="USNV Williams, FPO AP 23197"/>
    <s v="OID1726"/>
    <d v="2024-09-04T00:00:00"/>
    <x v="9"/>
    <s v="11:30:19"/>
    <x v="16"/>
    <n v="308.88"/>
    <n v="2"/>
    <n v="617.76"/>
    <x v="0"/>
    <n v="123.55200000000001"/>
    <n v="494.20799999999997"/>
    <n v="2"/>
    <n v="549.20799999999997"/>
    <n v="55"/>
    <d v="2024-09-06T00:00:00"/>
    <s v="02:44:11"/>
    <n v="672.76"/>
    <n v="2"/>
    <s v="Intime"/>
    <n v="617.76"/>
    <n v="0.2"/>
    <n v="123.55200000000001"/>
    <n v="178.55200000000002"/>
  </r>
  <r>
    <s v="CID165"/>
    <s v="Mary"/>
    <s v="Knight"/>
    <x v="6"/>
    <n v="28"/>
    <x v="2"/>
    <x v="4"/>
    <s v="mary.knight@yahoo.com"/>
    <s v="907 Kimberly Hill, Murrayfort, NH 88384"/>
    <s v="OID6635"/>
    <d v="2024-08-19T00:00:00"/>
    <x v="3"/>
    <s v="22:46:23"/>
    <x v="18"/>
    <n v="292.14999999999998"/>
    <n v="2"/>
    <n v="584.29999999999995"/>
    <x v="3"/>
    <n v="87.644999999999996"/>
    <n v="496.65499999999997"/>
    <n v="4"/>
    <n v="554.65499999999997"/>
    <n v="58"/>
    <d v="2024-08-22T00:00:00"/>
    <s v="08:30:57"/>
    <n v="642.29999999999995"/>
    <n v="3"/>
    <s v="BeforeTime"/>
    <n v="584.29999999999995"/>
    <n v="0.15"/>
    <n v="87.644999999999996"/>
    <n v="145.64499999999998"/>
  </r>
  <r>
    <s v="CID170"/>
    <s v="Bruce"/>
    <s v="Allen"/>
    <x v="0"/>
    <n v="32"/>
    <x v="0"/>
    <x v="0"/>
    <s v="bruce.allen@rediffmail.com"/>
    <s v="2417 Brown Ford, West Timothyside, RI 45629"/>
    <s v="OID3125"/>
    <d v="2024-02-21T00:00:00"/>
    <x v="10"/>
    <s v="02:52:20"/>
    <x v="18"/>
    <n v="292.14999999999998"/>
    <n v="2"/>
    <n v="584.29999999999995"/>
    <x v="3"/>
    <n v="87.644999999999996"/>
    <n v="496.65499999999997"/>
    <n v="6"/>
    <n v="556.65499999999997"/>
    <n v="60"/>
    <d v="2024-02-26T00:00:00"/>
    <s v="04:02:49"/>
    <n v="644.29999999999995"/>
    <n v="5"/>
    <s v="BeforeTime"/>
    <n v="584.29999999999995"/>
    <n v="0.15"/>
    <n v="87.644999999999996"/>
    <n v="147.64499999999998"/>
  </r>
  <r>
    <s v="CID165"/>
    <s v="Mary"/>
    <s v="Knight"/>
    <x v="6"/>
    <n v="28"/>
    <x v="2"/>
    <x v="4"/>
    <s v="mary.knight@yahoo.com"/>
    <s v="907 Kimberly Hill, Murrayfort, NH 88384"/>
    <s v="OID9224"/>
    <d v="2024-07-09T00:00:00"/>
    <x v="6"/>
    <s v="21:35:45"/>
    <x v="19"/>
    <n v="286.07"/>
    <n v="2"/>
    <n v="572.14"/>
    <x v="1"/>
    <n v="45.7712"/>
    <n v="526.36879999999996"/>
    <n v="3"/>
    <n v="580.36879999999996"/>
    <n v="54"/>
    <d v="2024-07-12T00:00:00"/>
    <s v="09:34:31"/>
    <n v="626.14"/>
    <n v="3"/>
    <s v="Intime"/>
    <n v="572.14"/>
    <n v="0.08"/>
    <n v="45.7712"/>
    <n v="99.771199999999993"/>
  </r>
  <r>
    <s v="CID102"/>
    <s v="Jessica"/>
    <s v="Ruiz"/>
    <x v="17"/>
    <n v="19"/>
    <x v="0"/>
    <x v="4"/>
    <s v="jessica.ruiz@rediffmail.com"/>
    <s v="02370 Laura Station Suite 309, Brandonville, DE 18875"/>
    <s v="OID9735"/>
    <d v="2023-03-12T00:00:00"/>
    <x v="5"/>
    <s v="20:03:28"/>
    <x v="28"/>
    <n v="190.1"/>
    <n v="3"/>
    <n v="570.29999999999995"/>
    <x v="1"/>
    <n v="45.623999999999995"/>
    <n v="524.67599999999993"/>
    <n v="4"/>
    <n v="587.67599999999993"/>
    <n v="63"/>
    <d v="2023-03-17T00:00:00"/>
    <s v="11:16:12"/>
    <n v="633.29999999999995"/>
    <n v="5"/>
    <s v="Late"/>
    <n v="570.29999999999995"/>
    <n v="0.08"/>
    <n v="45.623999999999995"/>
    <n v="108.624"/>
  </r>
  <r>
    <s v="CID123"/>
    <s v="Christy"/>
    <s v="Chang"/>
    <x v="49"/>
    <n v="38"/>
    <x v="0"/>
    <x v="3"/>
    <s v="christy.chang@outlook.com"/>
    <s v="4647 Hannah Centers, Rhodesburgh, NH 89363"/>
    <s v="OID7667"/>
    <d v="2024-01-21T00:00:00"/>
    <x v="4"/>
    <s v="20:10:30"/>
    <x v="28"/>
    <n v="190.1"/>
    <n v="3"/>
    <n v="570.29999999999995"/>
    <x v="2"/>
    <n v="57.03"/>
    <n v="513.27"/>
    <n v="3"/>
    <n v="554.27"/>
    <n v="41"/>
    <d v="2024-01-24T00:00:00"/>
    <s v="15:08:52"/>
    <n v="611.29999999999995"/>
    <n v="3"/>
    <s v="Intime"/>
    <n v="570.29999999999995"/>
    <n v="0.1"/>
    <n v="57.03"/>
    <n v="98.03"/>
  </r>
  <r>
    <s v="CID154"/>
    <s v="Angela"/>
    <s v="Casey"/>
    <x v="91"/>
    <n v="40"/>
    <x v="1"/>
    <x v="4"/>
    <s v="angela.casey@gmail.com"/>
    <s v="089 Farley Terrace, Thomashaven, MT 56607"/>
    <s v="OID7593"/>
    <d v="2023-09-24T00:00:00"/>
    <x v="9"/>
    <s v="15:18:11"/>
    <x v="23"/>
    <n v="282.63"/>
    <n v="2"/>
    <n v="565.26"/>
    <x v="3"/>
    <n v="84.789000000000001"/>
    <n v="480.471"/>
    <n v="6"/>
    <n v="542.471"/>
    <n v="62"/>
    <d v="2023-09-25T00:00:00"/>
    <s v="23:05:05"/>
    <n v="627.26"/>
    <n v="1"/>
    <s v="BeforeTime"/>
    <n v="565.26"/>
    <n v="0.15"/>
    <n v="84.789000000000001"/>
    <n v="146.78899999999999"/>
  </r>
  <r>
    <s v="CID109"/>
    <s v="Rachael"/>
    <s v="Robinson"/>
    <x v="75"/>
    <n v="24"/>
    <x v="2"/>
    <x v="3"/>
    <s v="rachael.robinson@rediffmail.com"/>
    <s v="0889 Brady Points, Port Meganhaven, NM 26553"/>
    <s v="OID8699"/>
    <d v="2023-04-29T00:00:00"/>
    <x v="0"/>
    <s v="02:22:40"/>
    <x v="39"/>
    <n v="110.95"/>
    <n v="5"/>
    <n v="554.75"/>
    <x v="0"/>
    <n v="110.95"/>
    <n v="443.8"/>
    <n v="5"/>
    <n v="505.8"/>
    <n v="62"/>
    <d v="2023-05-01T00:00:00"/>
    <s v="00:47:16"/>
    <n v="616.75"/>
    <n v="2"/>
    <s v="BeforeTime"/>
    <n v="554.75"/>
    <n v="0.2"/>
    <n v="110.95"/>
    <n v="172.95"/>
  </r>
  <r>
    <s v="CID109"/>
    <s v="Rachael"/>
    <s v="Robinson"/>
    <x v="75"/>
    <n v="24"/>
    <x v="2"/>
    <x v="3"/>
    <s v="rachael.robinson@rediffmail.com"/>
    <s v="0889 Brady Points, Port Meganhaven, NM 26553"/>
    <s v="OID4560"/>
    <d v="2023-12-11T00:00:00"/>
    <x v="7"/>
    <s v="14:41:09"/>
    <x v="24"/>
    <n v="275.44"/>
    <n v="2"/>
    <n v="550.88"/>
    <x v="1"/>
    <n v="44.070399999999999"/>
    <n v="506.80959999999999"/>
    <n v="2"/>
    <n v="542.80960000000005"/>
    <n v="36"/>
    <d v="2023-12-16T00:00:00"/>
    <s v="07:56:25"/>
    <n v="586.88"/>
    <n v="5"/>
    <s v="Late"/>
    <n v="550.88"/>
    <n v="0.08"/>
    <n v="44.070399999999999"/>
    <n v="80.070400000000006"/>
  </r>
  <r>
    <s v="CID160"/>
    <s v="James"/>
    <s v="Brown"/>
    <x v="92"/>
    <n v="60"/>
    <x v="1"/>
    <x v="7"/>
    <s v="james.brown@yahoo.com"/>
    <s v="221 Frey Crossing Suite 192, South Taylorland, HI 72875"/>
    <s v="OID2619"/>
    <d v="2023-05-07T00:00:00"/>
    <x v="1"/>
    <s v="11:51:15"/>
    <x v="24"/>
    <n v="275.44"/>
    <n v="2"/>
    <n v="550.88"/>
    <x v="3"/>
    <n v="82.631999999999991"/>
    <n v="468.24799999999999"/>
    <n v="4"/>
    <n v="522.24800000000005"/>
    <n v="54"/>
    <d v="2023-05-13T00:00:00"/>
    <s v="10:20:47"/>
    <n v="604.88"/>
    <n v="6"/>
    <s v="Late"/>
    <n v="550.88"/>
    <n v="0.15"/>
    <n v="82.631999999999991"/>
    <n v="136.63200000000001"/>
  </r>
  <r>
    <s v="CID165"/>
    <s v="Mary"/>
    <s v="Knight"/>
    <x v="6"/>
    <n v="28"/>
    <x v="2"/>
    <x v="4"/>
    <s v="mary.knight@yahoo.com"/>
    <s v="907 Kimberly Hill, Murrayfort, NH 88384"/>
    <s v="OID4436"/>
    <d v="2023-11-17T00:00:00"/>
    <x v="2"/>
    <s v="23:43:28"/>
    <x v="24"/>
    <n v="275.44"/>
    <n v="2"/>
    <n v="550.88"/>
    <x v="0"/>
    <n v="110.176"/>
    <n v="440.70400000000001"/>
    <n v="3"/>
    <n v="483.70400000000001"/>
    <n v="43"/>
    <d v="2023-11-21T00:00:00"/>
    <s v="12:35:16"/>
    <n v="593.88"/>
    <n v="4"/>
    <s v="Late"/>
    <n v="550.88"/>
    <n v="0.2"/>
    <n v="110.176"/>
    <n v="153.17599999999999"/>
  </r>
  <r>
    <s v="CID160"/>
    <s v="James"/>
    <s v="Brown"/>
    <x v="92"/>
    <n v="60"/>
    <x v="1"/>
    <x v="7"/>
    <s v="james.brown@yahoo.com"/>
    <s v="221 Frey Crossing Suite 192, South Taylorland, HI 72875"/>
    <s v="OID4081"/>
    <d v="2025-01-06T00:00:00"/>
    <x v="4"/>
    <s v="00:30:57"/>
    <x v="32"/>
    <n v="136.30000000000001"/>
    <n v="4"/>
    <n v="545.20000000000005"/>
    <x v="4"/>
    <n v="0"/>
    <n v="545.20000000000005"/>
    <n v="5"/>
    <n v="606.20000000000005"/>
    <n v="61"/>
    <d v="2025-01-11T00:00:00"/>
    <s v="15:41:07"/>
    <n v="606.20000000000005"/>
    <n v="5"/>
    <s v="Intime"/>
    <n v="545.20000000000005"/>
    <n v="0"/>
    <n v="0"/>
    <n v="0"/>
  </r>
  <r>
    <s v="CID121"/>
    <s v="Julie"/>
    <s v="Meyer"/>
    <x v="93"/>
    <n v="23"/>
    <x v="1"/>
    <x v="0"/>
    <s v="julie.meyer@yahoo.com"/>
    <s v="17381 Smith Ramp Suite 398, Courtneyville, AL 17756"/>
    <s v="OID9990"/>
    <d v="2023-12-11T00:00:00"/>
    <x v="7"/>
    <s v="21:53:54"/>
    <x v="32"/>
    <n v="136.30000000000001"/>
    <n v="4"/>
    <n v="545.20000000000005"/>
    <x v="2"/>
    <n v="54.52000000000001"/>
    <n v="490.68000000000006"/>
    <n v="1"/>
    <n v="525.68000000000006"/>
    <n v="35"/>
    <d v="2023-12-15T00:00:00"/>
    <s v="23:00:06"/>
    <n v="580.20000000000005"/>
    <n v="4"/>
    <s v="Late"/>
    <n v="545.20000000000005"/>
    <n v="0.1"/>
    <n v="54.52000000000001"/>
    <n v="89.52000000000001"/>
  </r>
  <r>
    <s v="CID137"/>
    <s v="Gina"/>
    <s v="Moreno"/>
    <x v="35"/>
    <n v="36"/>
    <x v="2"/>
    <x v="7"/>
    <s v="gina.moreno@rediffmail.com"/>
    <s v="USS Murray, FPO AP 66559"/>
    <s v="OID4240"/>
    <d v="2024-03-17T00:00:00"/>
    <x v="5"/>
    <s v="02:46:16"/>
    <x v="32"/>
    <n v="136.30000000000001"/>
    <n v="4"/>
    <n v="545.20000000000005"/>
    <x v="1"/>
    <n v="43.616000000000007"/>
    <n v="501.58400000000006"/>
    <n v="6"/>
    <n v="553.58400000000006"/>
    <n v="52"/>
    <d v="2024-03-20T00:00:00"/>
    <s v="09:28:52"/>
    <n v="597.20000000000005"/>
    <n v="3"/>
    <s v="BeforeTime"/>
    <n v="545.20000000000005"/>
    <n v="0.08"/>
    <n v="43.616000000000007"/>
    <n v="95.616000000000014"/>
  </r>
  <r>
    <s v="CID174"/>
    <s v="Jodi"/>
    <s v="Whitney"/>
    <x v="2"/>
    <n v="33"/>
    <x v="2"/>
    <x v="2"/>
    <s v="jodi.whitney@yahoo.com"/>
    <s v="72876 Lara Key Suite 383, Gutierrezton, OR 71683"/>
    <s v="OID7812"/>
    <d v="2023-11-27T00:00:00"/>
    <x v="2"/>
    <s v="09:01:24"/>
    <x v="20"/>
    <n v="272.51"/>
    <n v="2"/>
    <n v="545.02"/>
    <x v="2"/>
    <n v="54.502000000000002"/>
    <n v="490.51799999999997"/>
    <n v="4"/>
    <n v="538.51800000000003"/>
    <n v="48"/>
    <d v="2023-12-04T00:00:00"/>
    <s v="18:41:50"/>
    <n v="593.02"/>
    <n v="7"/>
    <s v="Late"/>
    <n v="545.02"/>
    <n v="0.1"/>
    <n v="54.502000000000002"/>
    <n v="102.50200000000001"/>
  </r>
  <r>
    <s v="CID122"/>
    <s v="Jared"/>
    <s v="Horn"/>
    <x v="59"/>
    <n v="43"/>
    <x v="1"/>
    <x v="7"/>
    <s v="jared.horn@outlook.com"/>
    <s v="43325 Barbara Tunnel, Port James, LA 16246"/>
    <s v="OID5575"/>
    <d v="2024-12-11T00:00:00"/>
    <x v="7"/>
    <s v="12:50:48"/>
    <x v="20"/>
    <n v="272.51"/>
    <n v="2"/>
    <n v="545.02"/>
    <x v="0"/>
    <n v="109.004"/>
    <n v="436.01599999999996"/>
    <n v="5"/>
    <n v="473.01599999999996"/>
    <n v="37"/>
    <d v="2024-12-14T00:00:00"/>
    <s v="19:56:33"/>
    <n v="582.02"/>
    <n v="3"/>
    <s v="BeforeTime"/>
    <n v="545.02"/>
    <n v="0.2"/>
    <n v="109.004"/>
    <n v="146.00400000000002"/>
  </r>
  <r>
    <s v="CID101"/>
    <s v="Bobby"/>
    <s v="Forbes"/>
    <x v="68"/>
    <n v="20"/>
    <x v="1"/>
    <x v="6"/>
    <s v="bobby.forbes@gmail.com"/>
    <s v="3079 John Parkway Suite 961, Port Kristaview, MT 91019"/>
    <s v="OID4514"/>
    <d v="2023-02-24T00:00:00"/>
    <x v="10"/>
    <s v="20:48:48"/>
    <x v="40"/>
    <n v="107.47"/>
    <n v="5"/>
    <n v="537.35"/>
    <x v="0"/>
    <n v="107.47000000000001"/>
    <n v="429.88"/>
    <n v="6"/>
    <n v="477.88"/>
    <n v="48"/>
    <d v="2023-03-02T00:00:00"/>
    <s v="15:06:55"/>
    <n v="585.35"/>
    <n v="6"/>
    <s v="Intime"/>
    <n v="537.35"/>
    <n v="0.2"/>
    <n v="107.47000000000001"/>
    <n v="155.47000000000003"/>
  </r>
  <r>
    <s v="CID121"/>
    <s v="Julie"/>
    <s v="Meyer"/>
    <x v="93"/>
    <n v="23"/>
    <x v="1"/>
    <x v="0"/>
    <s v="julie.meyer@yahoo.com"/>
    <s v="17381 Smith Ramp Suite 398, Courtneyville, AL 17756"/>
    <s v="OID9600"/>
    <d v="2024-11-26T00:00:00"/>
    <x v="2"/>
    <s v="04:19:31"/>
    <x v="40"/>
    <n v="107.47"/>
    <n v="5"/>
    <n v="537.35"/>
    <x v="1"/>
    <n v="42.988"/>
    <n v="494.36200000000002"/>
    <n v="4"/>
    <n v="531.36200000000008"/>
    <n v="37"/>
    <d v="2024-12-02T00:00:00"/>
    <s v="17:52:11"/>
    <n v="574.35"/>
    <n v="6"/>
    <s v="Late"/>
    <n v="537.35"/>
    <n v="0.08"/>
    <n v="42.988"/>
    <n v="79.988"/>
  </r>
  <r>
    <s v="CID185"/>
    <s v="Melissa"/>
    <s v="Levy"/>
    <x v="94"/>
    <n v="30"/>
    <x v="1"/>
    <x v="5"/>
    <s v="melissa.levy@rediffmail.com"/>
    <s v="3303 Kennedy Springs Suite 830, East Amybury, MI 95595"/>
    <s v="OID3186"/>
    <d v="2024-05-05T00:00:00"/>
    <x v="1"/>
    <s v="17:14:37"/>
    <x v="40"/>
    <n v="107.47"/>
    <n v="5"/>
    <n v="537.35"/>
    <x v="2"/>
    <n v="53.735000000000007"/>
    <n v="483.61500000000001"/>
    <n v="4"/>
    <n v="530.61500000000001"/>
    <n v="47"/>
    <d v="2024-05-12T00:00:00"/>
    <s v="12:54:21"/>
    <n v="584.35"/>
    <n v="7"/>
    <s v="Late"/>
    <n v="537.35"/>
    <n v="0.1"/>
    <n v="53.735000000000007"/>
    <n v="100.73500000000001"/>
  </r>
  <r>
    <s v="CID195"/>
    <s v="Sarah"/>
    <s v="Butler"/>
    <x v="64"/>
    <n v="64"/>
    <x v="1"/>
    <x v="0"/>
    <s v="sarah.butler@rediffmail.com"/>
    <s v="14131 Edwin Shore Apt. 190, Deniseberg, MD 90905"/>
    <s v="OID8955"/>
    <d v="2023-08-09T00:00:00"/>
    <x v="3"/>
    <s v="05:37:55"/>
    <x v="40"/>
    <n v="107.47"/>
    <n v="5"/>
    <n v="537.35"/>
    <x v="0"/>
    <n v="107.47000000000001"/>
    <n v="429.88"/>
    <n v="6"/>
    <n v="476.88"/>
    <n v="47"/>
    <d v="2023-08-11T00:00:00"/>
    <s v="12:11:43"/>
    <n v="584.35"/>
    <n v="2"/>
    <s v="BeforeTime"/>
    <n v="537.35"/>
    <n v="0.2"/>
    <n v="107.47000000000001"/>
    <n v="154.47000000000003"/>
  </r>
  <r>
    <s v="CID128"/>
    <s v="Traci"/>
    <s v="Jones"/>
    <x v="95"/>
    <n v="34"/>
    <x v="1"/>
    <x v="6"/>
    <s v="traci.jones@yahoo.com"/>
    <s v="4016 Ryan Passage, Collinsside, PA 88777"/>
    <s v="OID4442"/>
    <d v="2024-07-31T00:00:00"/>
    <x v="6"/>
    <s v="01:12:34"/>
    <x v="40"/>
    <n v="107.47"/>
    <n v="5"/>
    <n v="537.35"/>
    <x v="2"/>
    <n v="53.735000000000007"/>
    <n v="483.61500000000001"/>
    <n v="5"/>
    <n v="531.61500000000001"/>
    <n v="48"/>
    <d v="2024-08-01T00:00:00"/>
    <s v="10:01:43"/>
    <n v="585.35"/>
    <n v="1"/>
    <s v="BeforeTime"/>
    <n v="537.35"/>
    <n v="0.1"/>
    <n v="53.735000000000007"/>
    <n v="101.73500000000001"/>
  </r>
  <r>
    <s v="CID186"/>
    <s v="Anne"/>
    <s v="Oconnell"/>
    <x v="40"/>
    <n v="37"/>
    <x v="1"/>
    <x v="0"/>
    <s v="anne.oconnell@outlook.com"/>
    <s v="2850 Matthew Ford, North Yolandachester, FL 67488"/>
    <s v="OID4369"/>
    <d v="2023-08-24T00:00:00"/>
    <x v="3"/>
    <s v="22:31:31"/>
    <x v="35"/>
    <n v="132.97"/>
    <n v="4"/>
    <n v="531.88"/>
    <x v="2"/>
    <n v="53.188000000000002"/>
    <n v="478.69200000000001"/>
    <n v="3"/>
    <n v="521.69200000000001"/>
    <n v="43"/>
    <d v="2023-08-25T00:00:00"/>
    <s v="17:01:58"/>
    <n v="574.88"/>
    <n v="1"/>
    <s v="BeforeTime"/>
    <n v="531.88"/>
    <n v="0.1"/>
    <n v="53.188000000000002"/>
    <n v="96.188000000000002"/>
  </r>
  <r>
    <s v="CID134"/>
    <s v="Debra"/>
    <s v="Hayes"/>
    <x v="46"/>
    <n v="33"/>
    <x v="1"/>
    <x v="2"/>
    <s v="debra.hayes@yahoo.com"/>
    <s v="4601 Miller Lock, Williamsbury, IA 10943"/>
    <s v="OID2246"/>
    <d v="2024-08-24T00:00:00"/>
    <x v="3"/>
    <s v="05:36:29"/>
    <x v="35"/>
    <n v="132.97"/>
    <n v="4"/>
    <n v="531.88"/>
    <x v="4"/>
    <n v="0"/>
    <n v="531.88"/>
    <n v="6"/>
    <n v="594.88"/>
    <n v="63"/>
    <d v="2024-08-31T00:00:00"/>
    <s v="07:21:52"/>
    <n v="594.88"/>
    <n v="7"/>
    <s v="Late"/>
    <n v="531.88"/>
    <n v="0"/>
    <n v="0"/>
    <n v="0"/>
  </r>
  <r>
    <s v="CID100"/>
    <s v="Sharon"/>
    <s v="Thompson"/>
    <x v="73"/>
    <n v="57"/>
    <x v="0"/>
    <x v="3"/>
    <s v="sharon.thompson@yahoo.com"/>
    <s v="598 Jasmine Harbor, Turnerberg, SD 02371"/>
    <s v="OID3097"/>
    <d v="2024-02-24T00:00:00"/>
    <x v="10"/>
    <s v="02:51:35"/>
    <x v="29"/>
    <n v="175.93"/>
    <n v="3"/>
    <n v="527.79"/>
    <x v="1"/>
    <n v="42.223199999999999"/>
    <n v="485.56679999999994"/>
    <n v="4"/>
    <n v="531.56679999999994"/>
    <n v="46"/>
    <d v="2024-02-29T00:00:00"/>
    <s v="05:56:26"/>
    <n v="573.79"/>
    <n v="5"/>
    <s v="Late"/>
    <n v="527.79"/>
    <n v="0.08"/>
    <n v="42.223199999999999"/>
    <n v="88.223199999999991"/>
  </r>
  <r>
    <s v="CID184"/>
    <s v="Aaron"/>
    <s v="Thompson"/>
    <x v="9"/>
    <n v="47"/>
    <x v="0"/>
    <x v="6"/>
    <s v="aaron.thompson@gmail.com"/>
    <s v="PSC 0550, Box 2737, APO AE 75772"/>
    <s v="OID4719"/>
    <d v="2023-03-27T00:00:00"/>
    <x v="5"/>
    <s v="03:13:28"/>
    <x v="29"/>
    <n v="175.93"/>
    <n v="3"/>
    <n v="527.79"/>
    <x v="4"/>
    <n v="0"/>
    <n v="527.79"/>
    <n v="3"/>
    <n v="585.79"/>
    <n v="58"/>
    <d v="2023-04-01T00:00:00"/>
    <s v="07:58:28"/>
    <n v="585.79"/>
    <n v="5"/>
    <s v="Late"/>
    <n v="527.79"/>
    <n v="0"/>
    <n v="0"/>
    <n v="0"/>
  </r>
  <r>
    <s v="CID179"/>
    <s v="Christian"/>
    <s v="Clayton"/>
    <x v="16"/>
    <n v="39"/>
    <x v="0"/>
    <x v="5"/>
    <s v="christian.clayton@yahoo.com"/>
    <s v="065 Madison Way, Smithstad, CT 68011"/>
    <s v="OID7609"/>
    <d v="2024-03-01T00:00:00"/>
    <x v="5"/>
    <s v="10:38:12"/>
    <x v="41"/>
    <n v="104.18"/>
    <n v="5"/>
    <n v="520.90000000000009"/>
    <x v="1"/>
    <n v="41.672000000000011"/>
    <n v="479.22800000000007"/>
    <n v="5"/>
    <n v="537.22800000000007"/>
    <n v="58"/>
    <d v="2024-03-05T00:00:00"/>
    <s v="13:23:35"/>
    <n v="578.90000000000009"/>
    <n v="4"/>
    <s v="BeforeTime"/>
    <n v="520.90000000000009"/>
    <n v="0.08"/>
    <n v="41.672000000000011"/>
    <n v="99.672000000000011"/>
  </r>
  <r>
    <s v="CID148"/>
    <s v="Erin"/>
    <s v="Miller"/>
    <x v="8"/>
    <n v="46"/>
    <x v="1"/>
    <x v="2"/>
    <s v="erin.miller@gmail.com"/>
    <s v="65972 Peterson Route, Port Andrewfurt, SD 32892"/>
    <s v="OID4364"/>
    <d v="2024-10-26T00:00:00"/>
    <x v="11"/>
    <s v="04:35:15"/>
    <x v="26"/>
    <n v="257.06"/>
    <n v="2"/>
    <n v="514.12"/>
    <x v="3"/>
    <n v="77.117999999999995"/>
    <n v="437.00200000000001"/>
    <n v="7"/>
    <n v="496.00200000000001"/>
    <n v="59"/>
    <d v="2024-10-27T00:00:00"/>
    <s v="15:55:56"/>
    <n v="573.12"/>
    <n v="1"/>
    <s v="BeforeTime"/>
    <n v="514.12"/>
    <n v="0.15"/>
    <n v="77.117999999999995"/>
    <n v="136.11799999999999"/>
  </r>
  <r>
    <s v="CID164"/>
    <s v="Lauren"/>
    <s v="Lane"/>
    <x v="32"/>
    <n v="30"/>
    <x v="1"/>
    <x v="3"/>
    <s v="lauren.lane@gmail.com"/>
    <s v="56985 Sergio Extensions, Port Albert, CO 02898"/>
    <s v="OID1114"/>
    <d v="2024-04-11T00:00:00"/>
    <x v="0"/>
    <s v="07:59:11"/>
    <x v="38"/>
    <n v="126.19"/>
    <n v="4"/>
    <n v="504.76"/>
    <x v="1"/>
    <n v="40.380800000000001"/>
    <n v="464.37919999999997"/>
    <n v="5"/>
    <n v="533.37919999999997"/>
    <n v="69"/>
    <d v="2024-04-14T00:00:00"/>
    <s v="05:33:08"/>
    <n v="573.76"/>
    <n v="3"/>
    <s v="BeforeTime"/>
    <n v="504.76"/>
    <n v="0.08"/>
    <n v="40.380800000000001"/>
    <n v="109.38079999999999"/>
  </r>
  <r>
    <s v="CID120"/>
    <s v="Jenny"/>
    <s v="Estrada"/>
    <x v="55"/>
    <n v="45"/>
    <x v="1"/>
    <x v="1"/>
    <s v="jenny.estrada@yahoo.com"/>
    <s v="792 Carlos Islands, West David, CT 16522"/>
    <s v="OID4575"/>
    <d v="2023-12-11T00:00:00"/>
    <x v="7"/>
    <s v="18:42:20"/>
    <x v="34"/>
    <n v="166.28"/>
    <n v="3"/>
    <n v="498.84000000000003"/>
    <x v="2"/>
    <n v="49.884000000000007"/>
    <n v="448.95600000000002"/>
    <n v="6"/>
    <n v="507.95600000000002"/>
    <n v="59"/>
    <d v="2023-12-15T00:00:00"/>
    <s v="00:21:21"/>
    <n v="557.84"/>
    <n v="4"/>
    <s v="BeforeTime"/>
    <n v="498.84000000000003"/>
    <n v="0.1"/>
    <n v="49.884000000000007"/>
    <n v="108.88400000000001"/>
  </r>
  <r>
    <s v="CID161"/>
    <s v="Heather"/>
    <s v="Schneider"/>
    <x v="43"/>
    <n v="48"/>
    <x v="0"/>
    <x v="6"/>
    <s v="heather.schneider@outlook.com"/>
    <s v="57940 Susan Creek Apt. 541, Port Aliciamouth, OR 90221"/>
    <s v="OID5978"/>
    <d v="2024-07-26T00:00:00"/>
    <x v="6"/>
    <s v="07:11:09"/>
    <x v="1"/>
    <n v="481.48"/>
    <n v="1"/>
    <n v="481.48"/>
    <x v="1"/>
    <n v="38.5184"/>
    <n v="442.96160000000003"/>
    <n v="1"/>
    <n v="511.96160000000003"/>
    <n v="69"/>
    <d v="2024-07-30T00:00:00"/>
    <s v="14:05:53"/>
    <n v="550.48"/>
    <n v="4"/>
    <s v="Late"/>
    <n v="481.48"/>
    <n v="0.08"/>
    <n v="38.5184"/>
    <n v="107.5184"/>
  </r>
  <r>
    <s v="CID169"/>
    <s v="Robert"/>
    <s v="Castillo"/>
    <x v="83"/>
    <n v="32"/>
    <x v="0"/>
    <x v="2"/>
    <s v="robert.castillo@gmail.com"/>
    <s v="7143 Brandon Skyway Suite 899, Tylerton, IA 21756"/>
    <s v="OID3900"/>
    <d v="2023-08-05T00:00:00"/>
    <x v="3"/>
    <s v="20:14:30"/>
    <x v="1"/>
    <n v="481.48"/>
    <n v="1"/>
    <n v="481.48"/>
    <x v="3"/>
    <n v="72.221999999999994"/>
    <n v="409.25800000000004"/>
    <n v="4"/>
    <n v="476.25800000000004"/>
    <n v="67"/>
    <d v="2023-08-12T00:00:00"/>
    <s v="12:31:00"/>
    <n v="548.48"/>
    <n v="7"/>
    <s v="Late"/>
    <n v="481.48"/>
    <n v="0.15"/>
    <n v="72.221999999999994"/>
    <n v="139.22199999999998"/>
  </r>
  <r>
    <s v="CID128"/>
    <s v="Traci"/>
    <s v="Jones"/>
    <x v="95"/>
    <n v="34"/>
    <x v="1"/>
    <x v="6"/>
    <s v="traci.jones@yahoo.com"/>
    <s v="4016 Ryan Passage, Collinsside, PA 88777"/>
    <s v="OID9459"/>
    <d v="2023-12-23T00:00:00"/>
    <x v="7"/>
    <s v="08:17:07"/>
    <x v="1"/>
    <n v="481.48"/>
    <n v="1"/>
    <n v="481.48"/>
    <x v="1"/>
    <n v="38.5184"/>
    <n v="442.96160000000003"/>
    <n v="5"/>
    <n v="512.96160000000009"/>
    <n v="70"/>
    <d v="2023-12-27T00:00:00"/>
    <s v="07:01:18"/>
    <n v="551.48"/>
    <n v="4"/>
    <s v="BeforeTime"/>
    <n v="481.48"/>
    <n v="0.08"/>
    <n v="38.5184"/>
    <n v="108.5184"/>
  </r>
  <r>
    <s v="CID117"/>
    <s v="Hannah"/>
    <s v="Gutierrez"/>
    <x v="38"/>
    <n v="55"/>
    <x v="0"/>
    <x v="5"/>
    <s v="hannah.gutierrez@yahoo.com"/>
    <s v="2420 David Manors, Jessicaland, CT 41698"/>
    <s v="OID1243"/>
    <d v="2024-04-06T00:00:00"/>
    <x v="0"/>
    <s v="17:27:56"/>
    <x v="2"/>
    <n v="477.52"/>
    <n v="1"/>
    <n v="477.52"/>
    <x v="4"/>
    <n v="0"/>
    <n v="477.52"/>
    <n v="7"/>
    <n v="525.52"/>
    <n v="48"/>
    <d v="2024-04-11T00:00:00"/>
    <s v="05:22:25"/>
    <n v="525.52"/>
    <n v="5"/>
    <s v="BeforeTime"/>
    <n v="477.52"/>
    <n v="0"/>
    <n v="0"/>
    <n v="0"/>
  </r>
  <r>
    <s v="CID173"/>
    <s v="Susan"/>
    <s v="Thompson"/>
    <x v="18"/>
    <n v="37"/>
    <x v="2"/>
    <x v="3"/>
    <s v="susan.thompson@outlook.com"/>
    <s v="47821 William Station, East Ashleymouth, FL 20562"/>
    <s v="OID1508"/>
    <d v="2024-02-13T00:00:00"/>
    <x v="10"/>
    <s v="10:13:34"/>
    <x v="30"/>
    <n v="158.53"/>
    <n v="3"/>
    <n v="475.59000000000003"/>
    <x v="2"/>
    <n v="47.559000000000005"/>
    <n v="428.03100000000001"/>
    <n v="3"/>
    <n v="491.03100000000001"/>
    <n v="63"/>
    <d v="2024-02-14T00:00:00"/>
    <s v="00:06:39"/>
    <n v="538.59"/>
    <n v="1"/>
    <s v="BeforeTime"/>
    <n v="475.59000000000003"/>
    <n v="0.1"/>
    <n v="47.559000000000005"/>
    <n v="110.559"/>
  </r>
  <r>
    <s v="CID142"/>
    <s v="Thomas"/>
    <s v="Owens"/>
    <x v="96"/>
    <n v="34"/>
    <x v="2"/>
    <x v="3"/>
    <s v="thomas.owens@outlook.com"/>
    <s v="43920 Shaffer Valley Suite 531, South Jerry, MD 67120"/>
    <s v="OID8609"/>
    <d v="2024-02-02T00:00:00"/>
    <x v="10"/>
    <s v="13:33:06"/>
    <x v="30"/>
    <n v="158.53"/>
    <n v="3"/>
    <n v="475.59000000000003"/>
    <x v="0"/>
    <n v="95.118000000000009"/>
    <n v="380.47200000000004"/>
    <n v="6"/>
    <n v="418.47200000000004"/>
    <n v="38"/>
    <d v="2024-02-09T00:00:00"/>
    <s v="04:01:49"/>
    <n v="513.59"/>
    <n v="7"/>
    <s v="Late"/>
    <n v="475.59000000000003"/>
    <n v="0.2"/>
    <n v="95.118000000000009"/>
    <n v="133.11799999999999"/>
  </r>
  <r>
    <s v="CID120"/>
    <s v="Jenny"/>
    <s v="Estrada"/>
    <x v="55"/>
    <n v="45"/>
    <x v="1"/>
    <x v="1"/>
    <s v="jenny.estrada@yahoo.com"/>
    <s v="792 Carlos Islands, West David, CT 16522"/>
    <s v="OID4642"/>
    <d v="2023-06-02T00:00:00"/>
    <x v="8"/>
    <s v="09:33:35"/>
    <x v="31"/>
    <n v="157.63999999999999"/>
    <n v="3"/>
    <n v="472.91999999999996"/>
    <x v="0"/>
    <n v="94.584000000000003"/>
    <n v="378.33599999999996"/>
    <n v="2"/>
    <n v="425.33599999999996"/>
    <n v="47"/>
    <d v="2023-06-08T00:00:00"/>
    <s v="13:06:14"/>
    <n v="519.91999999999996"/>
    <n v="6"/>
    <s v="Late"/>
    <n v="472.91999999999996"/>
    <n v="0.2"/>
    <n v="94.584000000000003"/>
    <n v="141.584"/>
  </r>
  <r>
    <s v="CID140"/>
    <s v="Beth"/>
    <s v="Mason"/>
    <x v="62"/>
    <n v="45"/>
    <x v="2"/>
    <x v="6"/>
    <s v="beth.mason@outlook.com"/>
    <s v="58998 Sherry Haven, East Richard, FL 90775"/>
    <s v="OID8192"/>
    <d v="2024-04-22T00:00:00"/>
    <x v="0"/>
    <s v="21:14:38"/>
    <x v="31"/>
    <n v="157.63999999999999"/>
    <n v="3"/>
    <n v="472.91999999999996"/>
    <x v="1"/>
    <n v="37.833599999999997"/>
    <n v="435.08639999999997"/>
    <n v="4"/>
    <n v="501.08639999999997"/>
    <n v="66"/>
    <d v="2024-04-23T00:00:00"/>
    <s v="11:28:09"/>
    <n v="538.91999999999996"/>
    <n v="1"/>
    <s v="BeforeTime"/>
    <n v="472.91999999999996"/>
    <n v="0.08"/>
    <n v="37.833599999999997"/>
    <n v="103.83359999999999"/>
  </r>
  <r>
    <s v="CID190"/>
    <s v="Valerie"/>
    <s v="Carr"/>
    <x v="10"/>
    <n v="26"/>
    <x v="2"/>
    <x v="2"/>
    <s v="valerie.carr@rediffmail.com"/>
    <s v="981 Emily Stream, South Brianna, CO 98063"/>
    <s v="OID8974"/>
    <d v="2024-06-11T00:00:00"/>
    <x v="8"/>
    <s v="03:37:20"/>
    <x v="22"/>
    <n v="235.63"/>
    <n v="2"/>
    <n v="471.26"/>
    <x v="3"/>
    <n v="70.688999999999993"/>
    <n v="400.57100000000003"/>
    <n v="4"/>
    <n v="444.57100000000003"/>
    <n v="44"/>
    <d v="2024-06-15T00:00:00"/>
    <s v="08:01:11"/>
    <n v="515.26"/>
    <n v="4"/>
    <s v="Intime"/>
    <n v="471.26"/>
    <n v="0.15"/>
    <n v="70.688999999999993"/>
    <n v="114.68899999999999"/>
  </r>
  <r>
    <s v="CID163"/>
    <s v="Mark"/>
    <s v="Henderson"/>
    <x v="82"/>
    <n v="33"/>
    <x v="2"/>
    <x v="3"/>
    <s v="mark.henderson@yahoo.com"/>
    <s v="90155 Hines Spring, North Theresafurt, ME 31920"/>
    <s v="OID8875"/>
    <d v="2023-07-18T00:00:00"/>
    <x v="6"/>
    <s v="20:47:13"/>
    <x v="13"/>
    <n v="461.07"/>
    <n v="1"/>
    <n v="461.07"/>
    <x v="1"/>
    <n v="36.885600000000004"/>
    <n v="424.18439999999998"/>
    <n v="1"/>
    <n v="480.18439999999998"/>
    <n v="56"/>
    <d v="2023-07-19T00:00:00"/>
    <s v="16:23:04"/>
    <n v="517.06999999999994"/>
    <n v="1"/>
    <s v="Intime"/>
    <n v="461.07"/>
    <n v="0.08"/>
    <n v="36.885600000000004"/>
    <n v="92.885600000000011"/>
  </r>
  <r>
    <s v="CID158"/>
    <s v="Angela"/>
    <s v="Evans"/>
    <x v="52"/>
    <n v="52"/>
    <x v="2"/>
    <x v="1"/>
    <s v="angela.evans@outlook.com"/>
    <s v="16031 David Mountain Suite 431, Susanborough, PA 01910"/>
    <s v="OID1137"/>
    <d v="2024-05-15T00:00:00"/>
    <x v="1"/>
    <s v="00:17:47"/>
    <x v="13"/>
    <n v="461.07"/>
    <n v="1"/>
    <n v="461.07"/>
    <x v="0"/>
    <n v="92.213999999999999"/>
    <n v="368.85599999999999"/>
    <n v="7"/>
    <n v="425.85599999999999"/>
    <n v="57"/>
    <d v="2024-05-22T00:00:00"/>
    <s v="21:42:51"/>
    <n v="518.06999999999994"/>
    <n v="7"/>
    <s v="Intime"/>
    <n v="461.07"/>
    <n v="0.2"/>
    <n v="92.213999999999999"/>
    <n v="149.214"/>
  </r>
  <r>
    <s v="CID194"/>
    <s v="Barbara"/>
    <s v="Fuller"/>
    <x v="12"/>
    <n v="43"/>
    <x v="2"/>
    <x v="5"/>
    <s v="barbara.fuller@rediffmail.com"/>
    <s v="134 Mcintosh Unions Suite 574, Lake Laura, DE 96577"/>
    <s v="OID5555"/>
    <d v="2024-05-20T00:00:00"/>
    <x v="1"/>
    <s v="21:41:18"/>
    <x v="13"/>
    <n v="461.07"/>
    <n v="1"/>
    <n v="461.07"/>
    <x v="1"/>
    <n v="36.885600000000004"/>
    <n v="424.18439999999998"/>
    <n v="1"/>
    <n v="466.18439999999998"/>
    <n v="42"/>
    <d v="2024-05-21T00:00:00"/>
    <s v="21:10:12"/>
    <n v="503.07"/>
    <n v="1"/>
    <s v="Intime"/>
    <n v="461.07"/>
    <n v="0.08"/>
    <n v="36.885600000000004"/>
    <n v="78.885600000000011"/>
  </r>
  <r>
    <s v="CID144"/>
    <s v="William"/>
    <s v="Mann"/>
    <x v="71"/>
    <n v="21"/>
    <x v="1"/>
    <x v="1"/>
    <s v="william.mann@yahoo.com"/>
    <s v="849 Tran Wells, New Lindsayville, WI 22669"/>
    <s v="OID1336"/>
    <d v="2023-05-18T00:00:00"/>
    <x v="1"/>
    <s v="13:40:58"/>
    <x v="3"/>
    <n v="445.81"/>
    <n v="1"/>
    <n v="445.81"/>
    <x v="0"/>
    <n v="89.162000000000006"/>
    <n v="356.64800000000002"/>
    <n v="7"/>
    <n v="397.64800000000002"/>
    <n v="41"/>
    <d v="2023-05-25T00:00:00"/>
    <s v="02:14:28"/>
    <n v="486.81"/>
    <n v="7"/>
    <s v="Intime"/>
    <n v="445.81"/>
    <n v="0.2"/>
    <n v="89.162000000000006"/>
    <n v="130.16200000000001"/>
  </r>
  <r>
    <s v="CID154"/>
    <s v="Angela"/>
    <s v="Casey"/>
    <x v="91"/>
    <n v="40"/>
    <x v="1"/>
    <x v="4"/>
    <s v="angela.casey@gmail.com"/>
    <s v="089 Farley Terrace, Thomashaven, MT 56607"/>
    <s v="OID8649"/>
    <d v="2023-09-26T00:00:00"/>
    <x v="9"/>
    <s v="08:43:40"/>
    <x v="3"/>
    <n v="445.81"/>
    <n v="1"/>
    <n v="445.81"/>
    <x v="4"/>
    <n v="0"/>
    <n v="445.81"/>
    <n v="1"/>
    <n v="496.81"/>
    <n v="51"/>
    <d v="2023-09-29T00:00:00"/>
    <s v="05:13:28"/>
    <n v="496.81"/>
    <n v="3"/>
    <s v="Late"/>
    <n v="445.81"/>
    <n v="0"/>
    <n v="0"/>
    <n v="0"/>
  </r>
  <r>
    <s v="CID112"/>
    <s v="Lindsey"/>
    <s v="Byrd"/>
    <x v="13"/>
    <n v="32"/>
    <x v="1"/>
    <x v="5"/>
    <s v="lindsey.byrd@rediffmail.com"/>
    <s v="USCGC Harper, FPO AA 38349"/>
    <s v="OID4415"/>
    <d v="2024-09-02T00:00:00"/>
    <x v="9"/>
    <s v="10:33:35"/>
    <x v="39"/>
    <n v="110.95"/>
    <n v="4"/>
    <n v="443.8"/>
    <x v="3"/>
    <n v="66.569999999999993"/>
    <n v="377.23"/>
    <n v="1"/>
    <n v="437.23"/>
    <n v="60"/>
    <d v="2024-09-06T00:00:00"/>
    <s v="05:24:44"/>
    <n v="503.8"/>
    <n v="4"/>
    <s v="Late"/>
    <n v="443.8"/>
    <n v="0.15"/>
    <n v="66.569999999999993"/>
    <n v="126.57"/>
  </r>
  <r>
    <s v="CID178"/>
    <s v="Amy"/>
    <s v="Reid"/>
    <x v="34"/>
    <n v="44"/>
    <x v="0"/>
    <x v="6"/>
    <s v="amy.reid@rediffmail.com"/>
    <s v="6262 Simpson Village, North Danielle, RI 76074"/>
    <s v="OID3689"/>
    <d v="2024-03-26T00:00:00"/>
    <x v="5"/>
    <s v="01:19:56"/>
    <x v="25"/>
    <n v="220.27"/>
    <n v="2"/>
    <n v="440.54"/>
    <x v="4"/>
    <n v="0"/>
    <n v="440.54"/>
    <n v="3"/>
    <n v="479.54"/>
    <n v="39"/>
    <d v="2024-03-31T00:00:00"/>
    <s v="21:47:03"/>
    <n v="479.54"/>
    <n v="5"/>
    <s v="Late"/>
    <n v="440.54"/>
    <n v="0"/>
    <n v="0"/>
    <n v="0"/>
  </r>
  <r>
    <s v="CID140"/>
    <s v="Beth"/>
    <s v="Mason"/>
    <x v="62"/>
    <n v="45"/>
    <x v="2"/>
    <x v="6"/>
    <s v="beth.mason@outlook.com"/>
    <s v="58998 Sherry Haven, East Richard, FL 90775"/>
    <s v="OID5610"/>
    <d v="2025-01-16T00:00:00"/>
    <x v="4"/>
    <s v="07:53:58"/>
    <x v="25"/>
    <n v="220.27"/>
    <n v="2"/>
    <n v="440.54"/>
    <x v="0"/>
    <n v="88.108000000000004"/>
    <n v="352.43200000000002"/>
    <n v="1"/>
    <n v="415.43200000000002"/>
    <n v="63"/>
    <d v="2025-01-18T00:00:00"/>
    <s v="10:10:26"/>
    <n v="503.54"/>
    <n v="2"/>
    <s v="Late"/>
    <n v="440.54"/>
    <n v="0.2"/>
    <n v="88.108000000000004"/>
    <n v="151.108"/>
  </r>
  <r>
    <s v="CID116"/>
    <s v="John"/>
    <s v="Ramirez"/>
    <x v="26"/>
    <n v="28"/>
    <x v="2"/>
    <x v="7"/>
    <s v="john.ramirez@outlook.com"/>
    <s v="02797 Martin Landing, South Michelle, VT 98781"/>
    <s v="OID6264"/>
    <d v="2024-09-15T00:00:00"/>
    <x v="9"/>
    <s v="08:29:32"/>
    <x v="25"/>
    <n v="220.27"/>
    <n v="2"/>
    <n v="440.54"/>
    <x v="0"/>
    <n v="88.108000000000004"/>
    <n v="352.43200000000002"/>
    <n v="1"/>
    <n v="394.43200000000002"/>
    <n v="42"/>
    <d v="2024-09-17T00:00:00"/>
    <s v="12:32:31"/>
    <n v="482.54"/>
    <n v="2"/>
    <s v="Late"/>
    <n v="440.54"/>
    <n v="0.2"/>
    <n v="88.108000000000004"/>
    <n v="130.108"/>
  </r>
  <r>
    <s v="CID161"/>
    <s v="Heather"/>
    <s v="Schneider"/>
    <x v="43"/>
    <n v="48"/>
    <x v="0"/>
    <x v="6"/>
    <s v="heather.schneider@outlook.com"/>
    <s v="57940 Susan Creek Apt. 541, Port Aliciamouth, OR 90221"/>
    <s v="OID1694"/>
    <d v="2024-01-19T00:00:00"/>
    <x v="4"/>
    <s v="04:43:46"/>
    <x v="25"/>
    <n v="220.27"/>
    <n v="2"/>
    <n v="440.54"/>
    <x v="3"/>
    <n v="66.081000000000003"/>
    <n v="374.459"/>
    <n v="7"/>
    <n v="416.459"/>
    <n v="42"/>
    <d v="2024-01-26T00:00:00"/>
    <s v="01:46:40"/>
    <n v="482.54"/>
    <n v="7"/>
    <s v="Intime"/>
    <n v="440.54"/>
    <n v="0.15"/>
    <n v="66.081000000000003"/>
    <n v="108.081"/>
  </r>
  <r>
    <s v="CID194"/>
    <s v="Barbara"/>
    <s v="Fuller"/>
    <x v="12"/>
    <n v="43"/>
    <x v="2"/>
    <x v="5"/>
    <s v="barbara.fuller@rediffmail.com"/>
    <s v="134 Mcintosh Unions Suite 574, Lake Laura, DE 96577"/>
    <s v="OID7065"/>
    <d v="2023-02-09T00:00:00"/>
    <x v="10"/>
    <s v="09:15:42"/>
    <x v="42"/>
    <n v="87.09"/>
    <n v="5"/>
    <n v="435.45000000000005"/>
    <x v="4"/>
    <n v="0"/>
    <n v="435.45000000000005"/>
    <n v="7"/>
    <n v="491.45000000000005"/>
    <n v="56"/>
    <d v="2023-02-14T00:00:00"/>
    <s v="09:33:25"/>
    <n v="491.45000000000005"/>
    <n v="5"/>
    <s v="BeforeTime"/>
    <n v="435.45000000000005"/>
    <n v="0"/>
    <n v="0"/>
    <n v="0"/>
  </r>
  <r>
    <s v="CID167"/>
    <s v="Diana"/>
    <s v="French"/>
    <x v="29"/>
    <n v="54"/>
    <x v="0"/>
    <x v="4"/>
    <s v="diana.french@outlook.com"/>
    <s v="163 Jeffrey Drive, South Mary, NH 23999"/>
    <s v="OID3750"/>
    <d v="2024-10-22T00:00:00"/>
    <x v="11"/>
    <s v="04:44:04"/>
    <x v="42"/>
    <n v="87.09"/>
    <n v="5"/>
    <n v="435.45000000000005"/>
    <x v="3"/>
    <n v="65.31750000000001"/>
    <n v="370.13250000000005"/>
    <n v="7"/>
    <n v="410.13250000000005"/>
    <n v="40"/>
    <d v="2024-10-24T00:00:00"/>
    <s v="21:00:20"/>
    <n v="475.45000000000005"/>
    <n v="2"/>
    <s v="BeforeTime"/>
    <n v="435.45000000000005"/>
    <n v="0.15"/>
    <n v="65.31750000000001"/>
    <n v="105.31750000000001"/>
  </r>
  <r>
    <s v="CID139"/>
    <s v="Joseph"/>
    <s v="Gaines"/>
    <x v="41"/>
    <n v="47"/>
    <x v="2"/>
    <x v="4"/>
    <s v="joseph.gaines@outlook.com"/>
    <s v="37549 Pope Isle Apt. 202, Tylerborough, MO 60042"/>
    <s v="OID9822"/>
    <d v="2023-05-30T00:00:00"/>
    <x v="1"/>
    <s v="12:17:34"/>
    <x v="5"/>
    <n v="431.44"/>
    <n v="1"/>
    <n v="431.44"/>
    <x v="4"/>
    <n v="0"/>
    <n v="431.44"/>
    <n v="7"/>
    <n v="466.44"/>
    <n v="35"/>
    <d v="2023-06-03T00:00:00"/>
    <s v="11:02:15"/>
    <n v="466.44"/>
    <n v="4"/>
    <s v="BeforeTime"/>
    <n v="431.44"/>
    <n v="0"/>
    <n v="0"/>
    <n v="0"/>
  </r>
  <r>
    <s v="CID136"/>
    <s v="Brittany"/>
    <s v="Stewart"/>
    <x v="33"/>
    <n v="68"/>
    <x v="2"/>
    <x v="3"/>
    <s v="brittany.stewart@gmail.com"/>
    <s v="6250 David Loaf Suite 561, North Pamelaberg, WV 63652"/>
    <s v="OID7486"/>
    <d v="2023-07-05T00:00:00"/>
    <x v="6"/>
    <s v="18:27:23"/>
    <x v="40"/>
    <n v="107.47"/>
    <n v="4"/>
    <n v="429.88"/>
    <x v="0"/>
    <n v="85.975999999999999"/>
    <n v="343.904"/>
    <n v="5"/>
    <n v="394.904"/>
    <n v="51"/>
    <d v="2023-07-08T00:00:00"/>
    <s v="12:42:53"/>
    <n v="480.88"/>
    <n v="3"/>
    <s v="BeforeTime"/>
    <n v="429.88"/>
    <n v="0.2"/>
    <n v="85.975999999999999"/>
    <n v="136.976"/>
  </r>
  <r>
    <s v="CID197"/>
    <s v="Gary"/>
    <s v="Jacobs"/>
    <x v="90"/>
    <n v="64"/>
    <x v="0"/>
    <x v="4"/>
    <s v="gary.jacobs@gmail.com"/>
    <s v="USNV Williams, FPO AP 23197"/>
    <s v="OID4784"/>
    <d v="2024-12-07T00:00:00"/>
    <x v="7"/>
    <s v="07:19:13"/>
    <x v="40"/>
    <n v="107.47"/>
    <n v="4"/>
    <n v="429.88"/>
    <x v="0"/>
    <n v="85.975999999999999"/>
    <n v="343.904"/>
    <n v="5"/>
    <n v="385.904"/>
    <n v="42"/>
    <d v="2024-12-11T00:00:00"/>
    <s v="04:47:20"/>
    <n v="471.88"/>
    <n v="4"/>
    <s v="BeforeTime"/>
    <n v="429.88"/>
    <n v="0.2"/>
    <n v="85.975999999999999"/>
    <n v="127.976"/>
  </r>
  <r>
    <s v="CID199"/>
    <s v="Lori"/>
    <s v="Cook"/>
    <x v="25"/>
    <n v="18"/>
    <x v="0"/>
    <x v="1"/>
    <s v="lori.cook@rediffmail.com"/>
    <s v="86837 Bell Meadows, North Jasonshire, UT 51354"/>
    <s v="OID9862"/>
    <d v="2024-03-29T00:00:00"/>
    <x v="5"/>
    <s v="05:02:45"/>
    <x v="40"/>
    <n v="107.47"/>
    <n v="4"/>
    <n v="429.88"/>
    <x v="2"/>
    <n v="42.988"/>
    <n v="386.892"/>
    <n v="3"/>
    <n v="451.892"/>
    <n v="65"/>
    <d v="2024-04-03T00:00:00"/>
    <s v="14:00:57"/>
    <n v="494.88"/>
    <n v="5"/>
    <s v="Late"/>
    <n v="429.88"/>
    <n v="0.1"/>
    <n v="42.988"/>
    <n v="107.988"/>
  </r>
  <r>
    <s v="CID105"/>
    <s v="Joseph"/>
    <s v="Stewart"/>
    <x v="21"/>
    <n v="30"/>
    <x v="0"/>
    <x v="1"/>
    <s v="joseph.stewart@yahoo.com"/>
    <s v="4082 Wang Terrace Suite 040, Victorialand, ME 41532"/>
    <s v="OID8972"/>
    <d v="2023-09-19T00:00:00"/>
    <x v="9"/>
    <s v="07:36:32"/>
    <x v="40"/>
    <n v="107.47"/>
    <n v="4"/>
    <n v="429.88"/>
    <x v="1"/>
    <n v="34.3904"/>
    <n v="395.4896"/>
    <n v="2"/>
    <n v="430.4896"/>
    <n v="35"/>
    <d v="2023-09-22T00:00:00"/>
    <s v="09:34:23"/>
    <n v="464.88"/>
    <n v="3"/>
    <s v="Late"/>
    <n v="429.88"/>
    <n v="0.08"/>
    <n v="34.3904"/>
    <n v="69.3904"/>
  </r>
  <r>
    <s v="CID129"/>
    <s v="Rebecca"/>
    <s v="Figueroa"/>
    <x v="69"/>
    <n v="63"/>
    <x v="1"/>
    <x v="7"/>
    <s v="rebecca.figueroa@outlook.com"/>
    <s v="3959 Bell Dale, North Jacob, LA 07934"/>
    <s v="OID9527"/>
    <d v="2024-06-14T00:00:00"/>
    <x v="8"/>
    <s v="16:59:25"/>
    <x v="6"/>
    <n v="425.59"/>
    <n v="1"/>
    <n v="425.59"/>
    <x v="0"/>
    <n v="85.117999999999995"/>
    <n v="340.47199999999998"/>
    <n v="7"/>
    <n v="380.47199999999998"/>
    <n v="40"/>
    <d v="2024-06-17T00:00:00"/>
    <s v="13:29:40"/>
    <n v="465.59"/>
    <n v="3"/>
    <s v="BeforeTime"/>
    <n v="425.59"/>
    <n v="0.2"/>
    <n v="85.117999999999995"/>
    <n v="125.11799999999999"/>
  </r>
  <r>
    <s v="CID169"/>
    <s v="Robert"/>
    <s v="Castillo"/>
    <x v="83"/>
    <n v="32"/>
    <x v="0"/>
    <x v="2"/>
    <s v="robert.castillo@gmail.com"/>
    <s v="7143 Brandon Skyway Suite 899, Tylerton, IA 21756"/>
    <s v="OID3749"/>
    <d v="2024-08-11T00:00:00"/>
    <x v="3"/>
    <s v="16:34:44"/>
    <x v="6"/>
    <n v="425.59"/>
    <n v="1"/>
    <n v="425.59"/>
    <x v="1"/>
    <n v="34.047199999999997"/>
    <n v="391.5428"/>
    <n v="1"/>
    <n v="453.5428"/>
    <n v="62"/>
    <d v="2024-08-14T00:00:00"/>
    <s v="16:28:56"/>
    <n v="487.59"/>
    <n v="3"/>
    <s v="Late"/>
    <n v="425.59"/>
    <n v="0.08"/>
    <n v="34.047199999999997"/>
    <n v="96.047200000000004"/>
  </r>
  <r>
    <s v="CID183"/>
    <s v="Troy"/>
    <s v="Gomez"/>
    <x v="47"/>
    <n v="68"/>
    <x v="1"/>
    <x v="3"/>
    <s v="troy.gomez@outlook.com"/>
    <s v="7510 Jose Knolls, Candicechester, LA 62815"/>
    <s v="OID6749"/>
    <d v="2024-12-10T00:00:00"/>
    <x v="7"/>
    <s v="13:25:18"/>
    <x v="7"/>
    <n v="424.82"/>
    <n v="1"/>
    <n v="424.82"/>
    <x v="4"/>
    <n v="0"/>
    <n v="424.82"/>
    <n v="6"/>
    <n v="468.82"/>
    <n v="44"/>
    <d v="2024-12-12T00:00:00"/>
    <s v="14:51:25"/>
    <n v="468.82"/>
    <n v="2"/>
    <s v="BeforeTime"/>
    <n v="424.82"/>
    <n v="0"/>
    <n v="0"/>
    <n v="0"/>
  </r>
  <r>
    <s v="CID165"/>
    <s v="Mary"/>
    <s v="Knight"/>
    <x v="6"/>
    <n v="28"/>
    <x v="2"/>
    <x v="4"/>
    <s v="mary.knight@yahoo.com"/>
    <s v="907 Kimberly Hill, Murrayfort, NH 88384"/>
    <s v="OID2501"/>
    <d v="2024-07-28T00:00:00"/>
    <x v="6"/>
    <s v="11:53:55"/>
    <x v="7"/>
    <n v="424.82"/>
    <n v="1"/>
    <n v="424.82"/>
    <x v="1"/>
    <n v="33.985599999999998"/>
    <n v="390.83440000000002"/>
    <n v="5"/>
    <n v="439.83440000000002"/>
    <n v="49"/>
    <d v="2024-08-04T00:00:00"/>
    <s v="00:56:01"/>
    <n v="473.82"/>
    <n v="7"/>
    <s v="Late"/>
    <n v="424.82"/>
    <n v="0.08"/>
    <n v="33.985599999999998"/>
    <n v="82.985600000000005"/>
  </r>
  <r>
    <s v="CID153"/>
    <s v="Mitchell"/>
    <s v="Parker"/>
    <x v="39"/>
    <n v="39"/>
    <x v="2"/>
    <x v="1"/>
    <s v="mitchell.parker@yahoo.com"/>
    <s v="PSC 3316, Box 9303, APO AE 29513"/>
    <s v="OID4070"/>
    <d v="2025-01-23T00:00:00"/>
    <x v="4"/>
    <s v="19:18:19"/>
    <x v="8"/>
    <n v="421.7"/>
    <n v="1"/>
    <n v="421.7"/>
    <x v="2"/>
    <n v="42.17"/>
    <n v="379.53"/>
    <n v="3"/>
    <n v="438.53"/>
    <n v="59"/>
    <d v="2025-01-27T00:00:00"/>
    <s v="02:44:55"/>
    <n v="480.7"/>
    <n v="4"/>
    <s v="Late"/>
    <n v="421.7"/>
    <n v="0.1"/>
    <n v="42.17"/>
    <n v="101.17"/>
  </r>
  <r>
    <s v="CID136"/>
    <s v="Brittany"/>
    <s v="Stewart"/>
    <x v="33"/>
    <n v="68"/>
    <x v="2"/>
    <x v="3"/>
    <s v="brittany.stewart@gmail.com"/>
    <s v="6250 David Loaf Suite 561, North Pamelaberg, WV 63652"/>
    <s v="OID1317"/>
    <d v="2024-08-25T00:00:00"/>
    <x v="3"/>
    <s v="21:52:14"/>
    <x v="41"/>
    <n v="104.18"/>
    <n v="4"/>
    <n v="416.72"/>
    <x v="1"/>
    <n v="33.337600000000002"/>
    <n v="383.38240000000002"/>
    <n v="4"/>
    <n v="428.38240000000002"/>
    <n v="45"/>
    <d v="2024-09-01T00:00:00"/>
    <s v="10:43:13"/>
    <n v="461.72"/>
    <n v="7"/>
    <s v="Late"/>
    <n v="416.72"/>
    <n v="0.08"/>
    <n v="33.337600000000002"/>
    <n v="78.337600000000009"/>
  </r>
  <r>
    <s v="CID158"/>
    <s v="Angela"/>
    <s v="Evans"/>
    <x v="52"/>
    <n v="52"/>
    <x v="2"/>
    <x v="1"/>
    <s v="angela.evans@outlook.com"/>
    <s v="16031 David Mountain Suite 431, Susanborough, PA 01910"/>
    <s v="OID6906"/>
    <d v="2024-01-12T00:00:00"/>
    <x v="4"/>
    <s v="16:29:18"/>
    <x v="41"/>
    <n v="104.18"/>
    <n v="4"/>
    <n v="416.72"/>
    <x v="4"/>
    <n v="0"/>
    <n v="416.72"/>
    <n v="3"/>
    <n v="456.72"/>
    <n v="40"/>
    <d v="2024-01-17T00:00:00"/>
    <s v="19:58:19"/>
    <n v="456.72"/>
    <n v="5"/>
    <s v="Late"/>
    <n v="416.72"/>
    <n v="0"/>
    <n v="0"/>
    <n v="0"/>
  </r>
  <r>
    <s v="CID153"/>
    <s v="Mitchell"/>
    <s v="Parker"/>
    <x v="39"/>
    <n v="39"/>
    <x v="2"/>
    <x v="1"/>
    <s v="mitchell.parker@yahoo.com"/>
    <s v="PSC 3316, Box 9303, APO AE 29513"/>
    <s v="OID7980"/>
    <d v="2023-04-20T00:00:00"/>
    <x v="0"/>
    <s v="01:31:08"/>
    <x v="32"/>
    <n v="136.30000000000001"/>
    <n v="3"/>
    <n v="408.90000000000003"/>
    <x v="3"/>
    <n v="61.335000000000001"/>
    <n v="347.56500000000005"/>
    <n v="6"/>
    <n v="389.56500000000005"/>
    <n v="42"/>
    <d v="2023-04-27T00:00:00"/>
    <s v="14:39:46"/>
    <n v="450.90000000000003"/>
    <n v="7"/>
    <s v="Late"/>
    <n v="408.90000000000003"/>
    <n v="0.15"/>
    <n v="61.335000000000001"/>
    <n v="103.33500000000001"/>
  </r>
  <r>
    <s v="CID150"/>
    <s v="Anthony"/>
    <s v="Thomas"/>
    <x v="76"/>
    <n v="53"/>
    <x v="0"/>
    <x v="1"/>
    <s v="anthony.thomas@rediffmail.com"/>
    <s v="931 Christopher Ways Suite 833, North Michelle, IN 53484"/>
    <s v="OID1309"/>
    <d v="2024-10-24T00:00:00"/>
    <x v="11"/>
    <s v="08:18:11"/>
    <x v="27"/>
    <n v="202.54"/>
    <n v="2"/>
    <n v="405.08"/>
    <x v="0"/>
    <n v="81.016000000000005"/>
    <n v="324.06399999999996"/>
    <n v="6"/>
    <n v="394.06399999999996"/>
    <n v="70"/>
    <d v="2024-10-29T00:00:00"/>
    <s v="13:38:46"/>
    <n v="475.08"/>
    <n v="5"/>
    <s v="BeforeTime"/>
    <n v="405.08"/>
    <n v="0.2"/>
    <n v="81.016000000000005"/>
    <n v="151.01600000000002"/>
  </r>
  <r>
    <s v="CID155"/>
    <s v="Courtney"/>
    <s v="Parker"/>
    <x v="79"/>
    <n v="29"/>
    <x v="2"/>
    <x v="6"/>
    <s v="courtney.parker@yahoo.com"/>
    <s v="087 Jacqueline Rue Apt. 694, East Tasha, SC 04859"/>
    <s v="OID6304"/>
    <d v="2024-12-30T00:00:00"/>
    <x v="7"/>
    <s v="04:09:40"/>
    <x v="9"/>
    <n v="405"/>
    <n v="1"/>
    <n v="405"/>
    <x v="4"/>
    <n v="0"/>
    <n v="405"/>
    <n v="7"/>
    <n v="441"/>
    <n v="36"/>
    <d v="2025-01-04T00:00:00"/>
    <s v="01:56:00"/>
    <n v="441"/>
    <n v="5"/>
    <s v="BeforeTime"/>
    <n v="405"/>
    <n v="0"/>
    <n v="0"/>
    <n v="0"/>
  </r>
  <r>
    <s v="CID165"/>
    <s v="Mary"/>
    <s v="Knight"/>
    <x v="6"/>
    <n v="28"/>
    <x v="2"/>
    <x v="4"/>
    <s v="mary.knight@yahoo.com"/>
    <s v="907 Kimberly Hill, Murrayfort, NH 88384"/>
    <s v="OID2152"/>
    <d v="2023-10-30T00:00:00"/>
    <x v="11"/>
    <s v="14:13:38"/>
    <x v="9"/>
    <n v="405"/>
    <n v="1"/>
    <n v="405"/>
    <x v="4"/>
    <n v="0"/>
    <n v="405"/>
    <n v="5"/>
    <n v="449"/>
    <n v="44"/>
    <d v="2023-11-03T00:00:00"/>
    <s v="16:08:19"/>
    <n v="449"/>
    <n v="4"/>
    <s v="BeforeTime"/>
    <n v="405"/>
    <n v="0"/>
    <n v="0"/>
    <n v="0"/>
  </r>
  <r>
    <s v="CID179"/>
    <s v="Christian"/>
    <s v="Clayton"/>
    <x v="16"/>
    <n v="39"/>
    <x v="0"/>
    <x v="5"/>
    <s v="christian.clayton@yahoo.com"/>
    <s v="065 Madison Way, Smithstad, CT 68011"/>
    <s v="OID8041"/>
    <d v="2024-08-21T00:00:00"/>
    <x v="3"/>
    <s v="02:08:49"/>
    <x v="10"/>
    <n v="403.03"/>
    <n v="1"/>
    <n v="403.03"/>
    <x v="0"/>
    <n v="80.605999999999995"/>
    <n v="322.42399999999998"/>
    <n v="3"/>
    <n v="374.42399999999998"/>
    <n v="52"/>
    <d v="2024-08-22T00:00:00"/>
    <s v="15:38:07"/>
    <n v="455.03"/>
    <n v="1"/>
    <s v="BeforeTime"/>
    <n v="403.03"/>
    <n v="0.2"/>
    <n v="80.605999999999995"/>
    <n v="132.60599999999999"/>
  </r>
  <r>
    <s v="CID119"/>
    <s v="Amy"/>
    <s v="Griffin"/>
    <x v="1"/>
    <n v="29"/>
    <x v="1"/>
    <x v="1"/>
    <s v="amy.griffin@rediffmail.com"/>
    <s v="07350 Aaron Meadow Suite 138, Kiaraberg, AL 79545"/>
    <s v="OID4412"/>
    <d v="2023-07-01T00:00:00"/>
    <x v="6"/>
    <s v="06:35:14"/>
    <x v="35"/>
    <n v="132.97"/>
    <n v="3"/>
    <n v="398.90999999999997"/>
    <x v="3"/>
    <n v="59.836499999999994"/>
    <n v="339.07349999999997"/>
    <n v="3"/>
    <n v="375.07349999999997"/>
    <n v="36"/>
    <d v="2023-07-03T00:00:00"/>
    <s v="23:36:21"/>
    <n v="434.90999999999997"/>
    <n v="2"/>
    <s v="BeforeTime"/>
    <n v="398.90999999999997"/>
    <n v="0.15"/>
    <n v="59.836499999999994"/>
    <n v="95.836500000000001"/>
  </r>
  <r>
    <s v="CID103"/>
    <s v="Jason"/>
    <s v="Nguyen"/>
    <x v="24"/>
    <n v="51"/>
    <x v="2"/>
    <x v="7"/>
    <s v="jason.nguyen@yahoo.com"/>
    <s v="7112 Travis Glens Suite 790, Crystalland, WV 38373"/>
    <s v="OID2941"/>
    <d v="2024-02-17T00:00:00"/>
    <x v="10"/>
    <s v="21:17:39"/>
    <x v="36"/>
    <n v="129.75"/>
    <n v="3"/>
    <n v="389.25"/>
    <x v="3"/>
    <n v="58.387499999999996"/>
    <n v="330.86250000000001"/>
    <n v="5"/>
    <n v="367.86250000000001"/>
    <n v="37"/>
    <d v="2024-02-19T00:00:00"/>
    <s v="06:07:50"/>
    <n v="426.25"/>
    <n v="2"/>
    <s v="BeforeTime"/>
    <n v="389.25"/>
    <n v="0.15"/>
    <n v="58.387499999999996"/>
    <n v="95.387499999999989"/>
  </r>
  <r>
    <s v="CID121"/>
    <s v="Julie"/>
    <s v="Meyer"/>
    <x v="93"/>
    <n v="23"/>
    <x v="1"/>
    <x v="0"/>
    <s v="julie.meyer@yahoo.com"/>
    <s v="17381 Smith Ramp Suite 398, Courtneyville, AL 17756"/>
    <s v="OID5126"/>
    <d v="2024-10-09T00:00:00"/>
    <x v="11"/>
    <s v="04:03:43"/>
    <x v="43"/>
    <n v="77.84"/>
    <n v="5"/>
    <n v="389.20000000000005"/>
    <x v="4"/>
    <n v="0"/>
    <n v="389.20000000000005"/>
    <n v="4"/>
    <n v="436.20000000000005"/>
    <n v="47"/>
    <d v="2024-10-10T00:00:00"/>
    <s v="18:12:43"/>
    <n v="436.20000000000005"/>
    <n v="1"/>
    <s v="BeforeTime"/>
    <n v="389.20000000000005"/>
    <n v="0"/>
    <n v="0"/>
    <n v="0"/>
  </r>
  <r>
    <s v="CID174"/>
    <s v="Jodi"/>
    <s v="Whitney"/>
    <x v="2"/>
    <n v="33"/>
    <x v="2"/>
    <x v="2"/>
    <s v="jodi.whitney@yahoo.com"/>
    <s v="72876 Lara Key Suite 383, Gutierrezton, OR 71683"/>
    <s v="OID3469"/>
    <d v="2023-10-01T00:00:00"/>
    <x v="11"/>
    <s v="04:33:43"/>
    <x v="43"/>
    <n v="77.84"/>
    <n v="5"/>
    <n v="389.20000000000005"/>
    <x v="2"/>
    <n v="38.920000000000009"/>
    <n v="350.28000000000003"/>
    <n v="1"/>
    <n v="391.28000000000003"/>
    <n v="41"/>
    <d v="2023-10-07T00:00:00"/>
    <s v="01:47:49"/>
    <n v="430.20000000000005"/>
    <n v="6"/>
    <s v="Late"/>
    <n v="389.20000000000005"/>
    <n v="0.1"/>
    <n v="38.920000000000009"/>
    <n v="79.920000000000016"/>
  </r>
  <r>
    <s v="CID146"/>
    <s v="Janice"/>
    <s v="Gordon"/>
    <x v="80"/>
    <n v="43"/>
    <x v="1"/>
    <x v="1"/>
    <s v="janice.gordon@yahoo.com"/>
    <s v="5812 Evelyn Mountains Suite 845, Ortiztown, MN 86166"/>
    <s v="OID8981"/>
    <d v="2023-03-27T00:00:00"/>
    <x v="5"/>
    <s v="15:06:44"/>
    <x v="43"/>
    <n v="77.84"/>
    <n v="5"/>
    <n v="389.20000000000005"/>
    <x v="2"/>
    <n v="38.920000000000009"/>
    <n v="350.28000000000003"/>
    <n v="2"/>
    <n v="403.28000000000003"/>
    <n v="53"/>
    <d v="2023-04-01T00:00:00"/>
    <s v="14:31:29"/>
    <n v="442.20000000000005"/>
    <n v="5"/>
    <s v="Late"/>
    <n v="389.20000000000005"/>
    <n v="0.1"/>
    <n v="38.920000000000009"/>
    <n v="91.920000000000016"/>
  </r>
  <r>
    <s v="CID101"/>
    <s v="Bobby"/>
    <s v="Forbes"/>
    <x v="68"/>
    <n v="20"/>
    <x v="1"/>
    <x v="6"/>
    <s v="bobby.forbes@gmail.com"/>
    <s v="3079 John Parkway Suite 961, Port Kristaview, MT 91019"/>
    <s v="OID4710"/>
    <d v="2023-05-20T00:00:00"/>
    <x v="1"/>
    <s v="17:44:17"/>
    <x v="37"/>
    <n v="128.13999999999999"/>
    <n v="3"/>
    <n v="384.41999999999996"/>
    <x v="1"/>
    <n v="30.753599999999999"/>
    <n v="353.66639999999995"/>
    <n v="4"/>
    <n v="423.66639999999995"/>
    <n v="70"/>
    <d v="2023-05-23T00:00:00"/>
    <s v="09:53:18"/>
    <n v="454.41999999999996"/>
    <n v="3"/>
    <s v="BeforeTime"/>
    <n v="384.41999999999996"/>
    <n v="0.08"/>
    <n v="30.753599999999999"/>
    <n v="100.75360000000001"/>
  </r>
  <r>
    <s v="CID118"/>
    <s v="Amy"/>
    <s v="Ellis"/>
    <x v="44"/>
    <n v="44"/>
    <x v="2"/>
    <x v="6"/>
    <s v="amy.ellis@gmail.com"/>
    <s v="217 Scott Ville, Christophermouth, NH 83776"/>
    <s v="OID6893"/>
    <d v="2023-12-04T00:00:00"/>
    <x v="7"/>
    <s v="09:19:46"/>
    <x v="37"/>
    <n v="128.13999999999999"/>
    <n v="3"/>
    <n v="384.41999999999996"/>
    <x v="0"/>
    <n v="76.884"/>
    <n v="307.53599999999994"/>
    <n v="2"/>
    <n v="356.53599999999994"/>
    <n v="49"/>
    <d v="2023-12-10T00:00:00"/>
    <s v="02:07:12"/>
    <n v="433.41999999999996"/>
    <n v="6"/>
    <s v="Late"/>
    <n v="384.41999999999996"/>
    <n v="0.2"/>
    <n v="76.884"/>
    <n v="125.884"/>
  </r>
  <r>
    <s v="CID136"/>
    <s v="Brittany"/>
    <s v="Stewart"/>
    <x v="33"/>
    <n v="68"/>
    <x v="2"/>
    <x v="3"/>
    <s v="brittany.stewart@gmail.com"/>
    <s v="6250 David Loaf Suite 561, North Pamelaberg, WV 63652"/>
    <s v="OID6361"/>
    <d v="2023-05-26T00:00:00"/>
    <x v="1"/>
    <s v="16:28:38"/>
    <x v="37"/>
    <n v="128.13999999999999"/>
    <n v="3"/>
    <n v="384.41999999999996"/>
    <x v="0"/>
    <n v="76.884"/>
    <n v="307.53599999999994"/>
    <n v="2"/>
    <n v="366.53599999999994"/>
    <n v="59"/>
    <d v="2023-05-30T00:00:00"/>
    <s v="01:06:14"/>
    <n v="443.41999999999996"/>
    <n v="4"/>
    <s v="Late"/>
    <n v="384.41999999999996"/>
    <n v="0.2"/>
    <n v="76.884"/>
    <n v="135.88400000000001"/>
  </r>
  <r>
    <s v="CID110"/>
    <s v="Katie"/>
    <s v="Hicks"/>
    <x v="28"/>
    <n v="34"/>
    <x v="2"/>
    <x v="5"/>
    <s v="katie.hicks@rediffmail.com"/>
    <s v="848 William Port, New Marilyn, SD 58000"/>
    <s v="OID7418"/>
    <d v="2024-07-17T00:00:00"/>
    <x v="6"/>
    <s v="01:15:18"/>
    <x v="37"/>
    <n v="128.13999999999999"/>
    <n v="3"/>
    <n v="384.41999999999996"/>
    <x v="1"/>
    <n v="30.753599999999999"/>
    <n v="353.66639999999995"/>
    <n v="5"/>
    <n v="402.66639999999995"/>
    <n v="49"/>
    <d v="2024-07-22T00:00:00"/>
    <s v="16:11:48"/>
    <n v="433.41999999999996"/>
    <n v="5"/>
    <s v="Intime"/>
    <n v="384.41999999999996"/>
    <n v="0.08"/>
    <n v="30.753599999999999"/>
    <n v="79.753600000000006"/>
  </r>
  <r>
    <s v="CID109"/>
    <s v="Rachael"/>
    <s v="Robinson"/>
    <x v="75"/>
    <n v="24"/>
    <x v="2"/>
    <x v="3"/>
    <s v="rachael.robinson@rediffmail.com"/>
    <s v="0889 Brady Points, Port Meganhaven, NM 26553"/>
    <s v="OID8830"/>
    <d v="2025-01-11T00:00:00"/>
    <x v="4"/>
    <s v="16:49:20"/>
    <x v="11"/>
    <n v="381.73"/>
    <n v="1"/>
    <n v="381.73"/>
    <x v="1"/>
    <n v="30.538400000000003"/>
    <n v="351.19159999999999"/>
    <n v="3"/>
    <n v="387.19159999999999"/>
    <n v="36"/>
    <d v="2025-01-18T00:00:00"/>
    <s v="22:40:50"/>
    <n v="417.73"/>
    <n v="7"/>
    <s v="Late"/>
    <n v="381.73"/>
    <n v="0.08"/>
    <n v="30.538400000000003"/>
    <n v="66.538399999999996"/>
  </r>
  <r>
    <s v="CID145"/>
    <s v="Ashley"/>
    <s v="Romero"/>
    <x v="88"/>
    <n v="35"/>
    <x v="1"/>
    <x v="0"/>
    <s v="ashley.romero@yahoo.com"/>
    <s v="547 Kerry Expressway, Lake Amanda, AR 20321"/>
    <s v="OID6374"/>
    <d v="2023-05-08T00:00:00"/>
    <x v="1"/>
    <s v="18:54:33"/>
    <x v="38"/>
    <n v="126.19"/>
    <n v="3"/>
    <n v="378.57"/>
    <x v="4"/>
    <n v="0"/>
    <n v="378.57"/>
    <n v="5"/>
    <n v="418.57"/>
    <n v="40"/>
    <d v="2023-05-12T00:00:00"/>
    <s v="16:14:09"/>
    <n v="418.57"/>
    <n v="4"/>
    <s v="BeforeTime"/>
    <n v="378.57"/>
    <n v="0"/>
    <n v="0"/>
    <n v="0"/>
  </r>
  <r>
    <s v="CID147"/>
    <s v="Mallory"/>
    <s v="Mitchell"/>
    <x v="85"/>
    <n v="42"/>
    <x v="0"/>
    <x v="2"/>
    <s v="mallory.mitchell@yahoo.com"/>
    <s v="710 Anthony Wall Suite 137, East Davidstad, NV 61494"/>
    <s v="OID6330"/>
    <d v="2024-06-12T00:00:00"/>
    <x v="8"/>
    <s v="19:40:44"/>
    <x v="12"/>
    <n v="372.62"/>
    <n v="1"/>
    <n v="372.62"/>
    <x v="3"/>
    <n v="55.893000000000001"/>
    <n v="316.72699999999998"/>
    <n v="3"/>
    <n v="351.72699999999998"/>
    <n v="35"/>
    <d v="2024-06-15T00:00:00"/>
    <s v="16:30:13"/>
    <n v="407.62"/>
    <n v="3"/>
    <s v="Intime"/>
    <n v="372.62"/>
    <n v="0.15"/>
    <n v="55.893000000000001"/>
    <n v="90.893000000000001"/>
  </r>
  <r>
    <s v="CID190"/>
    <s v="Valerie"/>
    <s v="Carr"/>
    <x v="10"/>
    <n v="26"/>
    <x v="2"/>
    <x v="2"/>
    <s v="valerie.carr@rediffmail.com"/>
    <s v="981 Emily Stream, South Brianna, CO 98063"/>
    <s v="OID6002"/>
    <d v="2024-09-02T00:00:00"/>
    <x v="9"/>
    <s v="05:28:12"/>
    <x v="12"/>
    <n v="372.62"/>
    <n v="1"/>
    <n v="372.62"/>
    <x v="2"/>
    <n v="37.262"/>
    <n v="335.358"/>
    <n v="4"/>
    <n v="371.358"/>
    <n v="36"/>
    <d v="2024-09-06T00:00:00"/>
    <s v="09:29:13"/>
    <n v="408.62"/>
    <n v="4"/>
    <s v="Intime"/>
    <n v="372.62"/>
    <n v="0.1"/>
    <n v="37.262"/>
    <n v="73.262"/>
  </r>
  <r>
    <s v="CID117"/>
    <s v="Hannah"/>
    <s v="Gutierrez"/>
    <x v="38"/>
    <n v="55"/>
    <x v="0"/>
    <x v="5"/>
    <s v="hannah.gutierrez@yahoo.com"/>
    <s v="2420 David Manors, Jessicaland, CT 41698"/>
    <s v="OID3145"/>
    <d v="2023-08-19T00:00:00"/>
    <x v="3"/>
    <s v="17:40:16"/>
    <x v="12"/>
    <n v="372.62"/>
    <n v="1"/>
    <n v="372.62"/>
    <x v="2"/>
    <n v="37.262"/>
    <n v="335.358"/>
    <n v="5"/>
    <n v="380.358"/>
    <n v="45"/>
    <d v="2023-08-26T00:00:00"/>
    <s v="19:38:50"/>
    <n v="417.62"/>
    <n v="7"/>
    <s v="Late"/>
    <n v="372.62"/>
    <n v="0.1"/>
    <n v="37.262"/>
    <n v="82.262"/>
  </r>
  <r>
    <s v="CID150"/>
    <s v="Anthony"/>
    <s v="Thomas"/>
    <x v="76"/>
    <n v="53"/>
    <x v="0"/>
    <x v="1"/>
    <s v="anthony.thomas@rediffmail.com"/>
    <s v="931 Christopher Ways Suite 833, North Michelle, IN 53484"/>
    <s v="OID7904"/>
    <d v="2024-06-26T00:00:00"/>
    <x v="8"/>
    <s v="15:58:53"/>
    <x v="12"/>
    <n v="372.62"/>
    <n v="1"/>
    <n v="372.62"/>
    <x v="2"/>
    <n v="37.262"/>
    <n v="335.358"/>
    <n v="1"/>
    <n v="401.358"/>
    <n v="66"/>
    <d v="2024-06-28T00:00:00"/>
    <s v="14:14:53"/>
    <n v="438.62"/>
    <n v="2"/>
    <s v="Late"/>
    <n v="372.62"/>
    <n v="0.1"/>
    <n v="37.262"/>
    <n v="103.262"/>
  </r>
  <r>
    <s v="CID163"/>
    <s v="Mark"/>
    <s v="Henderson"/>
    <x v="82"/>
    <n v="33"/>
    <x v="2"/>
    <x v="3"/>
    <s v="mark.henderson@yahoo.com"/>
    <s v="90155 Hines Spring, North Theresafurt, ME 31920"/>
    <s v="OID4011"/>
    <d v="2024-12-31T00:00:00"/>
    <x v="7"/>
    <s v="10:33:07"/>
    <x v="12"/>
    <n v="372.62"/>
    <n v="1"/>
    <n v="372.62"/>
    <x v="3"/>
    <n v="55.893000000000001"/>
    <n v="316.72699999999998"/>
    <n v="5"/>
    <n v="366.72699999999998"/>
    <n v="50"/>
    <d v="2025-01-04T00:00:00"/>
    <s v="06:32:27"/>
    <n v="422.62"/>
    <n v="4"/>
    <s v="BeforeTime"/>
    <n v="372.62"/>
    <n v="0.15"/>
    <n v="55.893000000000001"/>
    <n v="105.893"/>
  </r>
  <r>
    <s v="CID105"/>
    <s v="Joseph"/>
    <s v="Stewart"/>
    <x v="21"/>
    <n v="30"/>
    <x v="0"/>
    <x v="1"/>
    <s v="joseph.stewart@yahoo.com"/>
    <s v="4082 Wang Terrace Suite 040, Victorialand, ME 41532"/>
    <s v="OID6752"/>
    <d v="2023-09-16T00:00:00"/>
    <x v="9"/>
    <s v="05:35:11"/>
    <x v="17"/>
    <n v="369.03"/>
    <n v="1"/>
    <n v="369.03"/>
    <x v="0"/>
    <n v="73.805999999999997"/>
    <n v="295.22399999999999"/>
    <n v="1"/>
    <n v="343.22399999999999"/>
    <n v="48"/>
    <d v="2023-09-23T00:00:00"/>
    <s v="04:56:02"/>
    <n v="417.03"/>
    <n v="7"/>
    <s v="Late"/>
    <n v="369.03"/>
    <n v="0.2"/>
    <n v="73.805999999999997"/>
    <n v="121.806"/>
  </r>
  <r>
    <s v="CID175"/>
    <s v="Katherine"/>
    <s v="Weber"/>
    <x v="15"/>
    <n v="42"/>
    <x v="2"/>
    <x v="4"/>
    <s v="katherine.weber@outlook.com"/>
    <s v="04887 Kimberly Union Apt. 645, Port Laura, IL 97219"/>
    <s v="OID9630"/>
    <d v="2023-02-11T00:00:00"/>
    <x v="10"/>
    <s v="20:50:23"/>
    <x v="17"/>
    <n v="369.03"/>
    <n v="1"/>
    <n v="369.03"/>
    <x v="0"/>
    <n v="73.805999999999997"/>
    <n v="295.22399999999999"/>
    <n v="6"/>
    <n v="333.22399999999999"/>
    <n v="38"/>
    <d v="2023-02-17T00:00:00"/>
    <s v="01:51:44"/>
    <n v="407.03"/>
    <n v="6"/>
    <s v="Intime"/>
    <n v="369.03"/>
    <n v="0.2"/>
    <n v="73.805999999999997"/>
    <n v="111.806"/>
  </r>
  <r>
    <s v="CID116"/>
    <s v="John"/>
    <s v="Ramirez"/>
    <x v="26"/>
    <n v="28"/>
    <x v="2"/>
    <x v="7"/>
    <s v="john.ramirez@outlook.com"/>
    <s v="02797 Martin Landing, South Michelle, VT 98781"/>
    <s v="OID9880"/>
    <d v="2024-11-03T00:00:00"/>
    <x v="2"/>
    <s v="04:32:42"/>
    <x v="14"/>
    <n v="363.64"/>
    <n v="1"/>
    <n v="363.64"/>
    <x v="2"/>
    <n v="36.363999999999997"/>
    <n v="327.27600000000001"/>
    <n v="3"/>
    <n v="397.27600000000001"/>
    <n v="70"/>
    <d v="2024-11-10T00:00:00"/>
    <s v="08:48:02"/>
    <n v="433.64"/>
    <n v="7"/>
    <s v="Late"/>
    <n v="363.64"/>
    <n v="0.1"/>
    <n v="36.363999999999997"/>
    <n v="106.364"/>
  </r>
  <r>
    <s v="CID107"/>
    <s v="Lisa"/>
    <s v="Miller"/>
    <x v="37"/>
    <n v="70"/>
    <x v="0"/>
    <x v="6"/>
    <s v="lisa.miller@gmail.com"/>
    <s v="89748 Campbell Drive, South Tannerland, WI 13143"/>
    <s v="OID1898"/>
    <d v="2024-04-04T00:00:00"/>
    <x v="0"/>
    <s v="22:30:30"/>
    <x v="29"/>
    <n v="175.93"/>
    <n v="2"/>
    <n v="351.86"/>
    <x v="2"/>
    <n v="35.186"/>
    <n v="316.67400000000004"/>
    <n v="7"/>
    <n v="377.67400000000004"/>
    <n v="61"/>
    <d v="2024-04-09T00:00:00"/>
    <s v="23:12:23"/>
    <n v="412.86"/>
    <n v="5"/>
    <s v="BeforeTime"/>
    <n v="351.86"/>
    <n v="0.1"/>
    <n v="35.186"/>
    <n v="96.186000000000007"/>
  </r>
  <r>
    <s v="CID171"/>
    <s v="Leslie"/>
    <s v="Montgomery"/>
    <x v="53"/>
    <n v="26"/>
    <x v="0"/>
    <x v="5"/>
    <s v="leslie.montgomery@gmail.com"/>
    <s v="135 Teresa Oval Apt. 825, East Katherineport, WY 13714"/>
    <s v="OID7910"/>
    <d v="2023-06-27T00:00:00"/>
    <x v="8"/>
    <s v="05:56:42"/>
    <x v="29"/>
    <n v="175.93"/>
    <n v="2"/>
    <n v="351.86"/>
    <x v="1"/>
    <n v="28.148800000000001"/>
    <n v="323.71120000000002"/>
    <n v="5"/>
    <n v="372.71120000000002"/>
    <n v="49"/>
    <d v="2023-06-29T00:00:00"/>
    <s v="03:42:23"/>
    <n v="400.86"/>
    <n v="2"/>
    <s v="BeforeTime"/>
    <n v="351.86"/>
    <n v="0.08"/>
    <n v="28.148800000000001"/>
    <n v="77.148799999999994"/>
  </r>
  <r>
    <s v="CID162"/>
    <s v="Mark"/>
    <s v="Summers"/>
    <x v="7"/>
    <n v="55"/>
    <x v="0"/>
    <x v="5"/>
    <s v="mark.summers@outlook.com"/>
    <s v="08413 Lynch Parkway, Calderonstad, NV 32697"/>
    <s v="OID2571"/>
    <d v="2024-02-02T00:00:00"/>
    <x v="10"/>
    <s v="19:33:36"/>
    <x v="29"/>
    <n v="175.93"/>
    <n v="2"/>
    <n v="351.86"/>
    <x v="4"/>
    <n v="0"/>
    <n v="351.86"/>
    <n v="6"/>
    <n v="401.86"/>
    <n v="50"/>
    <d v="2024-02-03T00:00:00"/>
    <s v="06:30:50"/>
    <n v="401.86"/>
    <n v="1"/>
    <s v="BeforeTime"/>
    <n v="351.86"/>
    <n v="0"/>
    <n v="0"/>
    <n v="0"/>
  </r>
  <r>
    <s v="CID134"/>
    <s v="Debra"/>
    <s v="Hayes"/>
    <x v="46"/>
    <n v="33"/>
    <x v="1"/>
    <x v="2"/>
    <s v="debra.hayes@yahoo.com"/>
    <s v="4601 Miller Lock, Williamsbury, IA 10943"/>
    <s v="OID7806"/>
    <d v="2024-05-23T00:00:00"/>
    <x v="1"/>
    <s v="02:46:19"/>
    <x v="42"/>
    <n v="87.09"/>
    <n v="4"/>
    <n v="348.36"/>
    <x v="4"/>
    <n v="0"/>
    <n v="348.36"/>
    <n v="6"/>
    <n v="411.36"/>
    <n v="63"/>
    <d v="2024-05-27T00:00:00"/>
    <s v="20:00:32"/>
    <n v="411.36"/>
    <n v="4"/>
    <s v="BeforeTime"/>
    <n v="348.36"/>
    <n v="0"/>
    <n v="0"/>
    <n v="0"/>
  </r>
  <r>
    <s v="CID156"/>
    <s v="Gregory"/>
    <s v="Lee"/>
    <x v="87"/>
    <n v="26"/>
    <x v="2"/>
    <x v="4"/>
    <s v="gregory.lee@rediffmail.com"/>
    <s v="619 Parker Turnpike Apt. 025, West Brucehaven, ID 48437"/>
    <s v="OID9374"/>
    <d v="2024-03-11T00:00:00"/>
    <x v="5"/>
    <s v="15:33:07"/>
    <x v="42"/>
    <n v="87.09"/>
    <n v="4"/>
    <n v="348.36"/>
    <x v="2"/>
    <n v="34.836000000000006"/>
    <n v="313.524"/>
    <n v="5"/>
    <n v="358.524"/>
    <n v="45"/>
    <d v="2024-03-17T00:00:00"/>
    <s v="15:51:15"/>
    <n v="393.36"/>
    <n v="6"/>
    <s v="Late"/>
    <n v="348.36"/>
    <n v="0.1"/>
    <n v="34.836000000000006"/>
    <n v="79.836000000000013"/>
  </r>
  <r>
    <s v="CID187"/>
    <s v="Jason"/>
    <s v="Lopez"/>
    <x v="14"/>
    <n v="40"/>
    <x v="2"/>
    <x v="2"/>
    <s v="jason.lopez@outlook.com"/>
    <s v="934 Levine View, Brentport, NE 38210"/>
    <s v="OID1076"/>
    <d v="2023-05-28T00:00:00"/>
    <x v="1"/>
    <s v="14:37:23"/>
    <x v="39"/>
    <n v="110.95"/>
    <n v="3"/>
    <n v="332.85"/>
    <x v="2"/>
    <n v="33.285000000000004"/>
    <n v="299.565"/>
    <n v="6"/>
    <n v="364.565"/>
    <n v="65"/>
    <d v="2023-06-02T00:00:00"/>
    <s v="01:58:28"/>
    <n v="397.85"/>
    <n v="5"/>
    <s v="BeforeTime"/>
    <n v="332.85"/>
    <n v="0.1"/>
    <n v="33.285000000000004"/>
    <n v="98.284999999999997"/>
  </r>
  <r>
    <s v="CID190"/>
    <s v="Valerie"/>
    <s v="Carr"/>
    <x v="10"/>
    <n v="26"/>
    <x v="2"/>
    <x v="2"/>
    <s v="valerie.carr@rediffmail.com"/>
    <s v="981 Emily Stream, South Brianna, CO 98063"/>
    <s v="OID5802"/>
    <d v="2024-04-11T00:00:00"/>
    <x v="0"/>
    <s v="05:25:01"/>
    <x v="39"/>
    <n v="110.95"/>
    <n v="3"/>
    <n v="332.85"/>
    <x v="4"/>
    <n v="0"/>
    <n v="332.85"/>
    <n v="5"/>
    <n v="379.85"/>
    <n v="47"/>
    <d v="2024-04-17T00:00:00"/>
    <s v="02:19:52"/>
    <n v="379.85"/>
    <n v="6"/>
    <s v="Late"/>
    <n v="332.85"/>
    <n v="0"/>
    <n v="0"/>
    <n v="0"/>
  </r>
  <r>
    <s v="CID197"/>
    <s v="Gary"/>
    <s v="Jacobs"/>
    <x v="90"/>
    <n v="64"/>
    <x v="0"/>
    <x v="4"/>
    <s v="gary.jacobs@gmail.com"/>
    <s v="USNV Williams, FPO AP 23197"/>
    <s v="OID1025"/>
    <d v="2024-03-28T00:00:00"/>
    <x v="5"/>
    <s v="02:29:08"/>
    <x v="34"/>
    <n v="166.28"/>
    <n v="2"/>
    <n v="332.56"/>
    <x v="0"/>
    <n v="66.512"/>
    <n v="266.048"/>
    <n v="4"/>
    <n v="306.048"/>
    <n v="40"/>
    <d v="2024-04-02T00:00:00"/>
    <s v="01:57:29"/>
    <n v="372.56"/>
    <n v="5"/>
    <s v="Late"/>
    <n v="332.56"/>
    <n v="0.2"/>
    <n v="66.512"/>
    <n v="106.512"/>
  </r>
  <r>
    <s v="CID125"/>
    <s v="Kelli"/>
    <s v="Smith"/>
    <x v="72"/>
    <n v="18"/>
    <x v="0"/>
    <x v="1"/>
    <s v="kelli.smith@rediffmail.com"/>
    <s v="788 Kristina Lane, Montoyaside, VA 90756"/>
    <s v="OID5787"/>
    <d v="2024-11-29T00:00:00"/>
    <x v="2"/>
    <s v="15:22:10"/>
    <x v="21"/>
    <n v="330.11"/>
    <n v="1"/>
    <n v="330.11"/>
    <x v="0"/>
    <n v="66.022000000000006"/>
    <n v="264.08800000000002"/>
    <n v="4"/>
    <n v="331.08800000000002"/>
    <n v="67"/>
    <d v="2024-12-01T00:00:00"/>
    <s v="13:15:51"/>
    <n v="397.11"/>
    <n v="2"/>
    <s v="BeforeTime"/>
    <n v="330.11"/>
    <n v="0.2"/>
    <n v="66.022000000000006"/>
    <n v="133.02199999999999"/>
  </r>
  <r>
    <s v="CID196"/>
    <s v="Regina"/>
    <s v="Hawkins"/>
    <x v="61"/>
    <n v="47"/>
    <x v="0"/>
    <x v="0"/>
    <s v="regina.hawkins@rediffmail.com"/>
    <s v="096 Santos Neck Apt. 937, Benjaminmouth, FL 61454"/>
    <s v="OID4491"/>
    <d v="2024-03-29T00:00:00"/>
    <x v="5"/>
    <s v="16:42:26"/>
    <x v="21"/>
    <n v="330.11"/>
    <n v="1"/>
    <n v="330.11"/>
    <x v="2"/>
    <n v="33.011000000000003"/>
    <n v="297.09899999999999"/>
    <n v="4"/>
    <n v="336.09899999999999"/>
    <n v="39"/>
    <d v="2024-04-02T00:00:00"/>
    <s v="08:22:44"/>
    <n v="369.11"/>
    <n v="4"/>
    <s v="Intime"/>
    <n v="330.11"/>
    <n v="0.1"/>
    <n v="33.011000000000003"/>
    <n v="72.010999999999996"/>
  </r>
  <r>
    <s v="CID100"/>
    <s v="Sharon"/>
    <s v="Thompson"/>
    <x v="73"/>
    <n v="57"/>
    <x v="0"/>
    <x v="3"/>
    <s v="sharon.thompson@yahoo.com"/>
    <s v="598 Jasmine Harbor, Turnerberg, SD 02371"/>
    <s v="OID3837"/>
    <d v="2024-06-10T00:00:00"/>
    <x v="8"/>
    <s v="19:09:08"/>
    <x v="40"/>
    <n v="107.47"/>
    <n v="3"/>
    <n v="322.40999999999997"/>
    <x v="2"/>
    <n v="32.241"/>
    <n v="290.16899999999998"/>
    <n v="4"/>
    <n v="349.16899999999998"/>
    <n v="59"/>
    <d v="2024-06-11T00:00:00"/>
    <s v="23:23:19"/>
    <n v="381.40999999999997"/>
    <n v="1"/>
    <s v="BeforeTime"/>
    <n v="322.40999999999997"/>
    <n v="0.1"/>
    <n v="32.241"/>
    <n v="91.241"/>
  </r>
  <r>
    <s v="CID124"/>
    <s v="Edward"/>
    <s v="Black"/>
    <x v="31"/>
    <n v="42"/>
    <x v="1"/>
    <x v="4"/>
    <s v="edward.black@gmail.com"/>
    <s v="5879 Susan Via Apt. 886, Sandovalbury, WV 61449"/>
    <s v="OID2873"/>
    <d v="2024-07-01T00:00:00"/>
    <x v="6"/>
    <s v="05:54:36"/>
    <x v="40"/>
    <n v="107.47"/>
    <n v="3"/>
    <n v="322.40999999999997"/>
    <x v="4"/>
    <n v="0"/>
    <n v="322.40999999999997"/>
    <n v="4"/>
    <n v="385.40999999999997"/>
    <n v="63"/>
    <d v="2024-07-08T00:00:00"/>
    <s v="17:18:51"/>
    <n v="385.40999999999997"/>
    <n v="7"/>
    <s v="Late"/>
    <n v="322.40999999999997"/>
    <n v="0"/>
    <n v="0"/>
    <n v="0"/>
  </r>
  <r>
    <s v="CID188"/>
    <s v="Kristina"/>
    <s v="Haynes"/>
    <x v="51"/>
    <n v="27"/>
    <x v="1"/>
    <x v="1"/>
    <s v="kristina.haynes@yahoo.com"/>
    <s v="18295 Thomas River, Kochville, NH 80868"/>
    <s v="OID9187"/>
    <d v="2023-09-16T00:00:00"/>
    <x v="9"/>
    <s v="23:47:36"/>
    <x v="30"/>
    <n v="158.53"/>
    <n v="2"/>
    <n v="317.06"/>
    <x v="1"/>
    <n v="25.364800000000002"/>
    <n v="291.6952"/>
    <n v="2"/>
    <n v="347.6952"/>
    <n v="56"/>
    <d v="2023-09-18T00:00:00"/>
    <s v="04:39:51"/>
    <n v="373.06"/>
    <n v="2"/>
    <s v="Intime"/>
    <n v="317.06"/>
    <n v="0.08"/>
    <n v="25.364800000000002"/>
    <n v="81.364800000000002"/>
  </r>
  <r>
    <s v="CID146"/>
    <s v="Janice"/>
    <s v="Gordon"/>
    <x v="80"/>
    <n v="43"/>
    <x v="1"/>
    <x v="1"/>
    <s v="janice.gordon@yahoo.com"/>
    <s v="5812 Evelyn Mountains Suite 845, Ortiztown, MN 86166"/>
    <s v="OID9461"/>
    <d v="2023-11-29T00:00:00"/>
    <x v="2"/>
    <s v="14:34:14"/>
    <x v="30"/>
    <n v="158.53"/>
    <n v="2"/>
    <n v="317.06"/>
    <x v="4"/>
    <n v="0"/>
    <n v="317.06"/>
    <n v="5"/>
    <n v="386.06"/>
    <n v="69"/>
    <d v="2023-12-01T00:00:00"/>
    <s v="17:45:57"/>
    <n v="386.06"/>
    <n v="2"/>
    <s v="BeforeTime"/>
    <n v="317.06"/>
    <n v="0"/>
    <n v="0"/>
    <n v="0"/>
  </r>
  <r>
    <s v="CID104"/>
    <s v="Gary"/>
    <s v="Huff"/>
    <x v="48"/>
    <n v="18"/>
    <x v="1"/>
    <x v="4"/>
    <s v="gary.huff@gmail.com"/>
    <s v="58608 Alexander Terrace, South Bryan, SC 85541"/>
    <s v="OID7412"/>
    <d v="2024-04-10T00:00:00"/>
    <x v="0"/>
    <s v="22:41:22"/>
    <x v="31"/>
    <n v="157.63999999999999"/>
    <n v="2"/>
    <n v="315.27999999999997"/>
    <x v="3"/>
    <n v="47.291999999999994"/>
    <n v="267.988"/>
    <n v="5"/>
    <n v="331.988"/>
    <n v="64"/>
    <d v="2024-04-13T00:00:00"/>
    <s v="03:01:00"/>
    <n v="379.28"/>
    <n v="3"/>
    <s v="BeforeTime"/>
    <n v="315.27999999999997"/>
    <n v="0.15"/>
    <n v="47.291999999999994"/>
    <n v="111.292"/>
  </r>
  <r>
    <s v="CID191"/>
    <s v="Lauren"/>
    <s v="Long"/>
    <x v="5"/>
    <n v="44"/>
    <x v="1"/>
    <x v="3"/>
    <s v="lauren.long@gmail.com"/>
    <s v="258 Michael Brooks Suite 363, Arnoldview, PA 49438"/>
    <s v="OID6987"/>
    <d v="2024-09-12T00:00:00"/>
    <x v="9"/>
    <s v="23:47:53"/>
    <x v="31"/>
    <n v="157.63999999999999"/>
    <n v="2"/>
    <n v="315.27999999999997"/>
    <x v="1"/>
    <n v="25.222399999999997"/>
    <n v="290.05759999999998"/>
    <n v="1"/>
    <n v="346.05759999999998"/>
    <n v="56"/>
    <d v="2024-09-17T00:00:00"/>
    <s v="00:49:45"/>
    <n v="371.28"/>
    <n v="5"/>
    <s v="Late"/>
    <n v="315.27999999999997"/>
    <n v="0.08"/>
    <n v="25.222399999999997"/>
    <n v="81.222399999999993"/>
  </r>
  <r>
    <s v="CID141"/>
    <s v="Megan"/>
    <s v="Hunt"/>
    <x v="66"/>
    <n v="63"/>
    <x v="1"/>
    <x v="2"/>
    <s v="megan.hunt@rediffmail.com"/>
    <s v="03765 Velazquez Knoll Suite 478, Richardshire, UT 17200"/>
    <s v="OID7205"/>
    <d v="2023-06-06T00:00:00"/>
    <x v="8"/>
    <s v="21:16:04"/>
    <x v="31"/>
    <n v="157.63999999999999"/>
    <n v="2"/>
    <n v="315.27999999999997"/>
    <x v="1"/>
    <n v="25.222399999999997"/>
    <n v="290.05759999999998"/>
    <n v="4"/>
    <n v="351.05759999999998"/>
    <n v="61"/>
    <d v="2023-06-13T00:00:00"/>
    <s v="10:41:25"/>
    <n v="376.28"/>
    <n v="7"/>
    <s v="Late"/>
    <n v="315.27999999999997"/>
    <n v="0.08"/>
    <n v="25.222399999999997"/>
    <n v="86.222399999999993"/>
  </r>
  <r>
    <s v="CID164"/>
    <s v="Lauren"/>
    <s v="Lane"/>
    <x v="32"/>
    <n v="30"/>
    <x v="1"/>
    <x v="3"/>
    <s v="lauren.lane@gmail.com"/>
    <s v="56985 Sergio Extensions, Port Albert, CO 02898"/>
    <s v="OID1597"/>
    <d v="2024-04-18T00:00:00"/>
    <x v="0"/>
    <s v="05:27:44"/>
    <x v="31"/>
    <n v="157.63999999999999"/>
    <n v="2"/>
    <n v="315.27999999999997"/>
    <x v="0"/>
    <n v="63.055999999999997"/>
    <n v="252.22399999999999"/>
    <n v="1"/>
    <n v="309.22399999999999"/>
    <n v="57"/>
    <d v="2024-04-19T00:00:00"/>
    <s v="21:00:17"/>
    <n v="372.28"/>
    <n v="1"/>
    <s v="Intime"/>
    <n v="315.27999999999997"/>
    <n v="0.2"/>
    <n v="63.055999999999997"/>
    <n v="120.056"/>
  </r>
  <r>
    <s v="CID172"/>
    <s v="Kara"/>
    <s v="Brennan"/>
    <x v="77"/>
    <n v="25"/>
    <x v="2"/>
    <x v="7"/>
    <s v="kara.brennan@outlook.com"/>
    <s v="2174 Thomas Avenue, Maciasborough, NJ 41465"/>
    <s v="OID4995"/>
    <d v="2023-12-11T00:00:00"/>
    <x v="7"/>
    <s v="16:46:34"/>
    <x v="31"/>
    <n v="157.63999999999999"/>
    <n v="2"/>
    <n v="315.27999999999997"/>
    <x v="4"/>
    <n v="0"/>
    <n v="315.27999999999997"/>
    <n v="5"/>
    <n v="372.28"/>
    <n v="57"/>
    <d v="2023-12-17T00:00:00"/>
    <s v="04:45:34"/>
    <n v="372.28"/>
    <n v="6"/>
    <s v="Late"/>
    <n v="315.27999999999997"/>
    <n v="0"/>
    <n v="0"/>
    <n v="0"/>
  </r>
  <r>
    <s v="CID133"/>
    <s v="Donna"/>
    <s v="Oneill"/>
    <x v="36"/>
    <n v="70"/>
    <x v="1"/>
    <x v="2"/>
    <s v="donna.oneill@yahoo.com"/>
    <s v="464 Carolyn Crest Suite 738, Lake Isaiah, CA 66153"/>
    <s v="OID1080"/>
    <d v="2023-08-07T00:00:00"/>
    <x v="3"/>
    <s v="01:04:28"/>
    <x v="31"/>
    <n v="157.63999999999999"/>
    <n v="2"/>
    <n v="315.27999999999997"/>
    <x v="2"/>
    <n v="31.527999999999999"/>
    <n v="283.75199999999995"/>
    <n v="6"/>
    <n v="348.75199999999995"/>
    <n v="65"/>
    <d v="2023-08-10T00:00:00"/>
    <s v="16:40:55"/>
    <n v="380.28"/>
    <n v="3"/>
    <s v="BeforeTime"/>
    <n v="315.27999999999997"/>
    <n v="0.1"/>
    <n v="31.527999999999999"/>
    <n v="96.527999999999992"/>
  </r>
  <r>
    <s v="CID122"/>
    <s v="Jared"/>
    <s v="Horn"/>
    <x v="59"/>
    <n v="43"/>
    <x v="1"/>
    <x v="7"/>
    <s v="jared.horn@outlook.com"/>
    <s v="43325 Barbara Tunnel, Port James, LA 16246"/>
    <s v="OID7329"/>
    <d v="2024-04-15T00:00:00"/>
    <x v="0"/>
    <s v="01:19:42"/>
    <x v="41"/>
    <n v="104.18"/>
    <n v="3"/>
    <n v="312.54000000000002"/>
    <x v="2"/>
    <n v="31.254000000000005"/>
    <n v="281.286"/>
    <n v="6"/>
    <n v="341.286"/>
    <n v="60"/>
    <d v="2024-04-16T00:00:00"/>
    <s v="01:52:14"/>
    <n v="372.54"/>
    <n v="1"/>
    <s v="BeforeTime"/>
    <n v="312.54000000000002"/>
    <n v="0.1"/>
    <n v="31.254000000000005"/>
    <n v="91.254000000000005"/>
  </r>
  <r>
    <s v="CID150"/>
    <s v="Anthony"/>
    <s v="Thomas"/>
    <x v="76"/>
    <n v="53"/>
    <x v="0"/>
    <x v="1"/>
    <s v="anthony.thomas@rediffmail.com"/>
    <s v="931 Christopher Ways Suite 833, North Michelle, IN 53484"/>
    <s v="OID1073"/>
    <d v="2025-01-27T00:00:00"/>
    <x v="4"/>
    <s v="03:51:26"/>
    <x v="44"/>
    <n v="62.42"/>
    <n v="5"/>
    <n v="312.10000000000002"/>
    <x v="3"/>
    <n v="46.815000000000005"/>
    <n v="265.28500000000003"/>
    <n v="6"/>
    <n v="334.28500000000003"/>
    <n v="69"/>
    <d v="2025-02-02T00:00:00"/>
    <s v="12:59:30"/>
    <n v="381.1"/>
    <n v="6"/>
    <s v="Intime"/>
    <n v="312.10000000000002"/>
    <n v="0.15"/>
    <n v="46.815000000000005"/>
    <n v="115.815"/>
  </r>
  <r>
    <s v="CID114"/>
    <s v="Lauren"/>
    <s v="Crane"/>
    <x v="3"/>
    <n v="62"/>
    <x v="0"/>
    <x v="1"/>
    <s v="lauren.crane@yahoo.com"/>
    <s v="30313 Reyes Parkways Suite 392, Port Bradley, SC 24078"/>
    <s v="OID6436"/>
    <d v="2024-06-08T00:00:00"/>
    <x v="8"/>
    <s v="13:00:52"/>
    <x v="44"/>
    <n v="62.42"/>
    <n v="5"/>
    <n v="312.10000000000002"/>
    <x v="4"/>
    <n v="0"/>
    <n v="312.10000000000002"/>
    <n v="2"/>
    <n v="359.1"/>
    <n v="47"/>
    <d v="2024-06-10T00:00:00"/>
    <s v="00:18:32"/>
    <n v="359.1"/>
    <n v="2"/>
    <s v="Intime"/>
    <n v="312.10000000000002"/>
    <n v="0"/>
    <n v="0"/>
    <n v="0"/>
  </r>
  <r>
    <s v="CID100"/>
    <s v="Sharon"/>
    <s v="Thompson"/>
    <x v="73"/>
    <n v="57"/>
    <x v="0"/>
    <x v="3"/>
    <s v="sharon.thompson@yahoo.com"/>
    <s v="598 Jasmine Harbor, Turnerberg, SD 02371"/>
    <s v="OID9988"/>
    <d v="2024-07-06T00:00:00"/>
    <x v="6"/>
    <s v="09:27:52"/>
    <x v="43"/>
    <n v="77.84"/>
    <n v="4"/>
    <n v="311.36"/>
    <x v="0"/>
    <n v="62.272000000000006"/>
    <n v="249.08800000000002"/>
    <n v="2"/>
    <n v="308.08800000000002"/>
    <n v="59"/>
    <d v="2024-07-12T00:00:00"/>
    <s v="20:53:18"/>
    <n v="370.36"/>
    <n v="6"/>
    <s v="Late"/>
    <n v="311.36"/>
    <n v="0.2"/>
    <n v="62.272000000000006"/>
    <n v="121.27200000000001"/>
  </r>
  <r>
    <s v="CID161"/>
    <s v="Heather"/>
    <s v="Schneider"/>
    <x v="43"/>
    <n v="48"/>
    <x v="0"/>
    <x v="6"/>
    <s v="heather.schneider@outlook.com"/>
    <s v="57940 Susan Creek Apt. 541, Port Aliciamouth, OR 90221"/>
    <s v="OID2767"/>
    <d v="2023-12-23T00:00:00"/>
    <x v="7"/>
    <s v="16:58:37"/>
    <x v="43"/>
    <n v="77.84"/>
    <n v="4"/>
    <n v="311.36"/>
    <x v="0"/>
    <n v="62.272000000000006"/>
    <n v="249.08800000000002"/>
    <n v="5"/>
    <n v="304.08800000000002"/>
    <n v="55"/>
    <d v="2023-12-26T00:00:00"/>
    <s v="01:05:53"/>
    <n v="366.36"/>
    <n v="3"/>
    <s v="BeforeTime"/>
    <n v="311.36"/>
    <n v="0.2"/>
    <n v="62.272000000000006"/>
    <n v="117.27200000000001"/>
  </r>
  <r>
    <s v="CID186"/>
    <s v="Anne"/>
    <s v="Oconnell"/>
    <x v="40"/>
    <n v="37"/>
    <x v="1"/>
    <x v="0"/>
    <s v="anne.oconnell@outlook.com"/>
    <s v="2850 Matthew Ford, North Yolandachester, FL 67488"/>
    <s v="OID7358"/>
    <d v="2024-10-02T00:00:00"/>
    <x v="11"/>
    <s v="19:49:32"/>
    <x v="16"/>
    <n v="308.88"/>
    <n v="1"/>
    <n v="308.88"/>
    <x v="4"/>
    <n v="0"/>
    <n v="308.88"/>
    <n v="6"/>
    <n v="370.88"/>
    <n v="62"/>
    <d v="2024-10-04T00:00:00"/>
    <s v="22:41:33"/>
    <n v="370.88"/>
    <n v="2"/>
    <s v="BeforeTime"/>
    <n v="308.88"/>
    <n v="0"/>
    <n v="0"/>
    <n v="0"/>
  </r>
  <r>
    <s v="CID163"/>
    <s v="Mark"/>
    <s v="Henderson"/>
    <x v="82"/>
    <n v="33"/>
    <x v="2"/>
    <x v="3"/>
    <s v="mark.henderson@yahoo.com"/>
    <s v="90155 Hines Spring, North Theresafurt, ME 31920"/>
    <s v="OID1573"/>
    <d v="2024-03-04T00:00:00"/>
    <x v="5"/>
    <s v="05:40:38"/>
    <x v="16"/>
    <n v="308.88"/>
    <n v="1"/>
    <n v="308.88"/>
    <x v="2"/>
    <n v="30.888000000000002"/>
    <n v="277.99200000000002"/>
    <n v="1"/>
    <n v="333.99200000000002"/>
    <n v="56"/>
    <d v="2024-03-09T00:00:00"/>
    <s v="05:38:59"/>
    <n v="364.88"/>
    <n v="5"/>
    <s v="Late"/>
    <n v="308.88"/>
    <n v="0.1"/>
    <n v="30.888000000000002"/>
    <n v="86.888000000000005"/>
  </r>
  <r>
    <s v="CID147"/>
    <s v="Mallory"/>
    <s v="Mitchell"/>
    <x v="85"/>
    <n v="42"/>
    <x v="0"/>
    <x v="2"/>
    <s v="mallory.mitchell@yahoo.com"/>
    <s v="710 Anthony Wall Suite 137, East Davidstad, NV 61494"/>
    <s v="OID6767"/>
    <d v="2024-09-20T00:00:00"/>
    <x v="9"/>
    <s v="17:52:44"/>
    <x v="16"/>
    <n v="308.88"/>
    <n v="1"/>
    <n v="308.88"/>
    <x v="3"/>
    <n v="46.332000000000001"/>
    <n v="262.548"/>
    <n v="3"/>
    <n v="316.548"/>
    <n v="54"/>
    <d v="2024-09-21T00:00:00"/>
    <s v="14:18:48"/>
    <n v="362.88"/>
    <n v="1"/>
    <s v="BeforeTime"/>
    <n v="308.88"/>
    <n v="0.15"/>
    <n v="46.332000000000001"/>
    <n v="100.33199999999999"/>
  </r>
  <r>
    <s v="CID198"/>
    <s v="David"/>
    <s v="Delacruz"/>
    <x v="67"/>
    <n v="26"/>
    <x v="0"/>
    <x v="6"/>
    <s v="david.delacruz@rediffmail.com"/>
    <s v="USNS Ray, FPO AE 20238"/>
    <s v="OID7287"/>
    <d v="2024-03-08T00:00:00"/>
    <x v="5"/>
    <s v="05:45:27"/>
    <x v="18"/>
    <n v="292.14999999999998"/>
    <n v="1"/>
    <n v="292.14999999999998"/>
    <x v="0"/>
    <n v="58.43"/>
    <n v="233.71999999999997"/>
    <n v="5"/>
    <n v="290.71999999999997"/>
    <n v="57"/>
    <d v="2024-03-14T00:00:00"/>
    <s v="16:20:46"/>
    <n v="349.15"/>
    <n v="6"/>
    <s v="Late"/>
    <n v="292.14999999999998"/>
    <n v="0.2"/>
    <n v="58.43"/>
    <n v="115.43"/>
  </r>
  <r>
    <s v="CID114"/>
    <s v="Lauren"/>
    <s v="Crane"/>
    <x v="3"/>
    <n v="62"/>
    <x v="0"/>
    <x v="1"/>
    <s v="lauren.crane@yahoo.com"/>
    <s v="30313 Reyes Parkways Suite 392, Port Bradley, SC 24078"/>
    <s v="OID7443"/>
    <d v="2024-05-17T00:00:00"/>
    <x v="1"/>
    <s v="15:44:41"/>
    <x v="19"/>
    <n v="286.07"/>
    <n v="1"/>
    <n v="286.07"/>
    <x v="4"/>
    <n v="0"/>
    <n v="286.07"/>
    <n v="4"/>
    <n v="329.07"/>
    <n v="43"/>
    <d v="2024-05-22T00:00:00"/>
    <s v="03:08:53"/>
    <n v="329.07"/>
    <n v="5"/>
    <s v="Late"/>
    <n v="286.07"/>
    <n v="0"/>
    <n v="0"/>
    <n v="0"/>
  </r>
  <r>
    <s v="CID109"/>
    <s v="Rachael"/>
    <s v="Robinson"/>
    <x v="75"/>
    <n v="24"/>
    <x v="2"/>
    <x v="3"/>
    <s v="rachael.robinson@rediffmail.com"/>
    <s v="0889 Brady Points, Port Meganhaven, NM 26553"/>
    <s v="OID6237"/>
    <d v="2023-10-08T00:00:00"/>
    <x v="11"/>
    <s v="18:41:53"/>
    <x v="23"/>
    <n v="282.63"/>
    <n v="1"/>
    <n v="282.63"/>
    <x v="4"/>
    <n v="0"/>
    <n v="282.63"/>
    <n v="5"/>
    <n v="327.63"/>
    <n v="45"/>
    <d v="2023-10-15T00:00:00"/>
    <s v="19:58:13"/>
    <n v="327.63"/>
    <n v="7"/>
    <s v="Late"/>
    <n v="282.63"/>
    <n v="0"/>
    <n v="0"/>
    <n v="0"/>
  </r>
  <r>
    <s v="CID152"/>
    <s v="Marcus"/>
    <s v="Valenzuela"/>
    <x v="97"/>
    <n v="39"/>
    <x v="1"/>
    <x v="0"/>
    <s v="marcus.valenzuela@yahoo.com"/>
    <s v="694 Graham Prairie Apt. 887, Jimenezfurt, MI 33044"/>
    <s v="OID3528"/>
    <d v="2023-04-24T00:00:00"/>
    <x v="0"/>
    <s v="12:07:00"/>
    <x v="24"/>
    <n v="275.44"/>
    <n v="1"/>
    <n v="275.44"/>
    <x v="1"/>
    <n v="22.0352"/>
    <n v="253.40479999999999"/>
    <n v="7"/>
    <n v="316.40480000000002"/>
    <n v="63"/>
    <d v="2023-04-26T00:00:00"/>
    <s v="23:05:41"/>
    <n v="338.44"/>
    <n v="2"/>
    <s v="BeforeTime"/>
    <n v="275.44"/>
    <n v="0.08"/>
    <n v="22.0352"/>
    <n v="85.035200000000003"/>
  </r>
  <r>
    <s v="CID111"/>
    <s v="Brian"/>
    <s v="Kennedy"/>
    <x v="11"/>
    <n v="69"/>
    <x v="1"/>
    <x v="0"/>
    <s v="brian.kennedy@outlook.com"/>
    <s v="25126 Nancy Fort Suite 568, Alexandrachester, AZ 44823"/>
    <s v="OID9693"/>
    <d v="2024-07-11T00:00:00"/>
    <x v="6"/>
    <s v="21:12:50"/>
    <x v="32"/>
    <n v="136.30000000000001"/>
    <n v="2"/>
    <n v="272.60000000000002"/>
    <x v="2"/>
    <n v="27.260000000000005"/>
    <n v="245.34000000000003"/>
    <n v="1"/>
    <n v="299.34000000000003"/>
    <n v="54"/>
    <d v="2024-07-12T00:00:00"/>
    <s v="09:07:45"/>
    <n v="326.60000000000002"/>
    <n v="1"/>
    <s v="Intime"/>
    <n v="272.60000000000002"/>
    <n v="0.1"/>
    <n v="27.260000000000005"/>
    <n v="81.260000000000005"/>
  </r>
  <r>
    <s v="CID128"/>
    <s v="Traci"/>
    <s v="Jones"/>
    <x v="95"/>
    <n v="34"/>
    <x v="1"/>
    <x v="6"/>
    <s v="traci.jones@yahoo.com"/>
    <s v="4016 Ryan Passage, Collinsside, PA 88777"/>
    <s v="OID1418"/>
    <d v="2025-01-10T00:00:00"/>
    <x v="4"/>
    <s v="01:24:01"/>
    <x v="32"/>
    <n v="136.30000000000001"/>
    <n v="2"/>
    <n v="272.60000000000002"/>
    <x v="2"/>
    <n v="27.260000000000005"/>
    <n v="245.34000000000003"/>
    <n v="3"/>
    <n v="313.34000000000003"/>
    <n v="68"/>
    <d v="2025-01-17T00:00:00"/>
    <s v="16:29:02"/>
    <n v="340.6"/>
    <n v="7"/>
    <s v="Late"/>
    <n v="272.60000000000002"/>
    <n v="0.1"/>
    <n v="27.260000000000005"/>
    <n v="95.26"/>
  </r>
  <r>
    <s v="CID152"/>
    <s v="Marcus"/>
    <s v="Valenzuela"/>
    <x v="97"/>
    <n v="39"/>
    <x v="1"/>
    <x v="0"/>
    <s v="marcus.valenzuela@yahoo.com"/>
    <s v="694 Graham Prairie Apt. 887, Jimenezfurt, MI 33044"/>
    <s v="OID2746"/>
    <d v="2025-02-01T00:00:00"/>
    <x v="10"/>
    <s v="10:44:36"/>
    <x v="32"/>
    <n v="136.30000000000001"/>
    <n v="2"/>
    <n v="272.60000000000002"/>
    <x v="2"/>
    <n v="27.260000000000005"/>
    <n v="245.34000000000003"/>
    <n v="2"/>
    <n v="296.34000000000003"/>
    <n v="51"/>
    <d v="2025-02-06T00:00:00"/>
    <s v="23:51:56"/>
    <n v="323.60000000000002"/>
    <n v="5"/>
    <s v="Late"/>
    <n v="272.60000000000002"/>
    <n v="0.1"/>
    <n v="27.260000000000005"/>
    <n v="78.260000000000005"/>
  </r>
  <r>
    <s v="CID137"/>
    <s v="Gina"/>
    <s v="Moreno"/>
    <x v="35"/>
    <n v="36"/>
    <x v="2"/>
    <x v="7"/>
    <s v="gina.moreno@rediffmail.com"/>
    <s v="USS Murray, FPO AP 66559"/>
    <s v="OID9705"/>
    <d v="2024-09-14T00:00:00"/>
    <x v="9"/>
    <s v="03:29:39"/>
    <x v="32"/>
    <n v="136.30000000000001"/>
    <n v="2"/>
    <n v="272.60000000000002"/>
    <x v="0"/>
    <n v="54.52000000000001"/>
    <n v="218.08"/>
    <n v="7"/>
    <n v="269.08000000000004"/>
    <n v="51"/>
    <d v="2024-09-15T00:00:00"/>
    <s v="23:33:34"/>
    <n v="323.60000000000002"/>
    <n v="1"/>
    <s v="BeforeTime"/>
    <n v="272.60000000000002"/>
    <n v="0.2"/>
    <n v="54.52000000000001"/>
    <n v="105.52000000000001"/>
  </r>
  <r>
    <s v="CID121"/>
    <s v="Julie"/>
    <s v="Meyer"/>
    <x v="93"/>
    <n v="23"/>
    <x v="1"/>
    <x v="0"/>
    <s v="julie.meyer@yahoo.com"/>
    <s v="17381 Smith Ramp Suite 398, Courtneyville, AL 17756"/>
    <s v="OID7003"/>
    <d v="2024-07-31T00:00:00"/>
    <x v="6"/>
    <s v="04:53:37"/>
    <x v="32"/>
    <n v="136.30000000000001"/>
    <n v="2"/>
    <n v="272.60000000000002"/>
    <x v="2"/>
    <n v="27.260000000000005"/>
    <n v="245.34000000000003"/>
    <n v="3"/>
    <n v="292.34000000000003"/>
    <n v="47"/>
    <d v="2024-08-07T00:00:00"/>
    <s v="07:56:46"/>
    <n v="319.60000000000002"/>
    <n v="7"/>
    <s v="Late"/>
    <n v="272.60000000000002"/>
    <n v="0.1"/>
    <n v="27.260000000000005"/>
    <n v="74.260000000000005"/>
  </r>
  <r>
    <s v="CID154"/>
    <s v="Angela"/>
    <s v="Casey"/>
    <x v="91"/>
    <n v="40"/>
    <x v="1"/>
    <x v="4"/>
    <s v="angela.casey@gmail.com"/>
    <s v="089 Farley Terrace, Thomashaven, MT 56607"/>
    <s v="OID6600"/>
    <d v="2024-08-27T00:00:00"/>
    <x v="3"/>
    <s v="22:46:20"/>
    <x v="32"/>
    <n v="136.30000000000001"/>
    <n v="2"/>
    <n v="272.60000000000002"/>
    <x v="1"/>
    <n v="21.808000000000003"/>
    <n v="250.79200000000003"/>
    <n v="6"/>
    <n v="308.79200000000003"/>
    <n v="58"/>
    <d v="2024-08-29T00:00:00"/>
    <s v="15:31:26"/>
    <n v="330.6"/>
    <n v="2"/>
    <s v="BeforeTime"/>
    <n v="272.60000000000002"/>
    <n v="0.08"/>
    <n v="21.808000000000003"/>
    <n v="79.808000000000007"/>
  </r>
  <r>
    <s v="CID147"/>
    <s v="Mallory"/>
    <s v="Mitchell"/>
    <x v="85"/>
    <n v="42"/>
    <x v="0"/>
    <x v="2"/>
    <s v="mallory.mitchell@yahoo.com"/>
    <s v="710 Anthony Wall Suite 137, East Davidstad, NV 61494"/>
    <s v="OID1135"/>
    <d v="2024-09-06T00:00:00"/>
    <x v="9"/>
    <s v="21:59:14"/>
    <x v="32"/>
    <n v="136.30000000000001"/>
    <n v="2"/>
    <n v="272.60000000000002"/>
    <x v="0"/>
    <n v="54.52000000000001"/>
    <n v="218.08"/>
    <n v="2"/>
    <n v="263.08000000000004"/>
    <n v="45"/>
    <d v="2024-09-11T00:00:00"/>
    <s v="00:34:58"/>
    <n v="317.60000000000002"/>
    <n v="5"/>
    <s v="Late"/>
    <n v="272.60000000000002"/>
    <n v="0.2"/>
    <n v="54.52000000000001"/>
    <n v="99.52000000000001"/>
  </r>
  <r>
    <s v="CID182"/>
    <s v="John"/>
    <s v="Herrera"/>
    <x v="22"/>
    <n v="64"/>
    <x v="0"/>
    <x v="1"/>
    <s v="john.herrera@outlook.com"/>
    <s v="61263 Jacob Isle, Amandatown, TN 34321"/>
    <s v="OID7679"/>
    <d v="2024-12-03T00:00:00"/>
    <x v="7"/>
    <s v="09:15:50"/>
    <x v="20"/>
    <n v="272.51"/>
    <n v="1"/>
    <n v="272.51"/>
    <x v="0"/>
    <n v="54.502000000000002"/>
    <n v="218.00799999999998"/>
    <n v="4"/>
    <n v="261.00799999999998"/>
    <n v="43"/>
    <d v="2024-12-04T00:00:00"/>
    <s v="09:05:06"/>
    <n v="315.51"/>
    <n v="1"/>
    <s v="BeforeTime"/>
    <n v="272.51"/>
    <n v="0.2"/>
    <n v="54.502000000000002"/>
    <n v="97.50200000000001"/>
  </r>
  <r>
    <s v="CID111"/>
    <s v="Brian"/>
    <s v="Kennedy"/>
    <x v="11"/>
    <n v="69"/>
    <x v="1"/>
    <x v="0"/>
    <s v="brian.kennedy@outlook.com"/>
    <s v="25126 Nancy Fort Suite 568, Alexandrachester, AZ 44823"/>
    <s v="OID3467"/>
    <d v="2024-12-24T00:00:00"/>
    <x v="7"/>
    <s v="23:34:28"/>
    <x v="33"/>
    <n v="133.62"/>
    <n v="2"/>
    <n v="267.24"/>
    <x v="2"/>
    <n v="26.724000000000004"/>
    <n v="240.51600000000002"/>
    <n v="4"/>
    <n v="290.51600000000002"/>
    <n v="50"/>
    <d v="2024-12-25T00:00:00"/>
    <s v="02:05:20"/>
    <n v="317.24"/>
    <n v="1"/>
    <s v="BeforeTime"/>
    <n v="267.24"/>
    <n v="0.1"/>
    <n v="26.724000000000004"/>
    <n v="76.724000000000004"/>
  </r>
  <r>
    <s v="CID103"/>
    <s v="Jason"/>
    <s v="Nguyen"/>
    <x v="24"/>
    <n v="51"/>
    <x v="2"/>
    <x v="7"/>
    <s v="jason.nguyen@yahoo.com"/>
    <s v="7112 Travis Glens Suite 790, Crystalland, WV 38373"/>
    <s v="OID9324"/>
    <d v="2023-03-25T00:00:00"/>
    <x v="5"/>
    <s v="02:27:18"/>
    <x v="33"/>
    <n v="133.62"/>
    <n v="2"/>
    <n v="267.24"/>
    <x v="1"/>
    <n v="21.379200000000001"/>
    <n v="245.86080000000001"/>
    <n v="1"/>
    <n v="293.86080000000004"/>
    <n v="48"/>
    <d v="2023-03-30T00:00:00"/>
    <s v="04:48:38"/>
    <n v="315.24"/>
    <n v="5"/>
    <s v="Late"/>
    <n v="267.24"/>
    <n v="0.08"/>
    <n v="21.379200000000001"/>
    <n v="69.379199999999997"/>
  </r>
  <r>
    <s v="CID187"/>
    <s v="Jason"/>
    <s v="Lopez"/>
    <x v="14"/>
    <n v="40"/>
    <x v="2"/>
    <x v="2"/>
    <s v="jason.lopez@outlook.com"/>
    <s v="934 Levine View, Brentport, NE 38210"/>
    <s v="OID9782"/>
    <d v="2023-05-12T00:00:00"/>
    <x v="1"/>
    <s v="17:53:01"/>
    <x v="33"/>
    <n v="133.62"/>
    <n v="2"/>
    <n v="267.24"/>
    <x v="2"/>
    <n v="26.724000000000004"/>
    <n v="240.51600000000002"/>
    <n v="4"/>
    <n v="276.51600000000002"/>
    <n v="36"/>
    <d v="2023-05-13T00:00:00"/>
    <s v="05:26:03"/>
    <n v="303.24"/>
    <n v="1"/>
    <s v="BeforeTime"/>
    <n v="267.24"/>
    <n v="0.1"/>
    <n v="26.724000000000004"/>
    <n v="62.724000000000004"/>
  </r>
  <r>
    <s v="CID125"/>
    <s v="Kelli"/>
    <s v="Smith"/>
    <x v="72"/>
    <n v="18"/>
    <x v="0"/>
    <x v="1"/>
    <s v="kelli.smith@rediffmail.com"/>
    <s v="788 Kristina Lane, Montoyaside, VA 90756"/>
    <s v="OID2189"/>
    <d v="2023-09-09T00:00:00"/>
    <x v="9"/>
    <s v="16:35:28"/>
    <x v="33"/>
    <n v="133.62"/>
    <n v="2"/>
    <n v="267.24"/>
    <x v="1"/>
    <n v="21.379200000000001"/>
    <n v="245.86080000000001"/>
    <n v="2"/>
    <n v="293.86080000000004"/>
    <n v="48"/>
    <d v="2023-09-15T00:00:00"/>
    <s v="07:06:38"/>
    <n v="315.24"/>
    <n v="6"/>
    <s v="Late"/>
    <n v="267.24"/>
    <n v="0.08"/>
    <n v="21.379200000000001"/>
    <n v="69.379199999999997"/>
  </r>
  <r>
    <s v="CID157"/>
    <s v="Sarah"/>
    <s v="Benson"/>
    <x v="19"/>
    <n v="40"/>
    <x v="2"/>
    <x v="3"/>
    <s v="sarah.benson@outlook.com"/>
    <s v="5399 Hayes Well, West Pennystad, IL 93798"/>
    <s v="OID2779"/>
    <d v="2024-10-08T00:00:00"/>
    <x v="11"/>
    <s v="03:11:02"/>
    <x v="35"/>
    <n v="132.97"/>
    <n v="2"/>
    <n v="265.94"/>
    <x v="2"/>
    <n v="26.594000000000001"/>
    <n v="239.346"/>
    <n v="6"/>
    <n v="308.346"/>
    <n v="69"/>
    <d v="2024-10-13T00:00:00"/>
    <s v="19:39:57"/>
    <n v="334.94"/>
    <n v="5"/>
    <s v="BeforeTime"/>
    <n v="265.94"/>
    <n v="0.1"/>
    <n v="26.594000000000001"/>
    <n v="95.593999999999994"/>
  </r>
  <r>
    <s v="CID176"/>
    <s v="Joshua"/>
    <s v="Campbell"/>
    <x v="50"/>
    <n v="24"/>
    <x v="1"/>
    <x v="5"/>
    <s v="joshua.campbell@gmail.com"/>
    <s v="70426 Lindsey Overpass Apt. 030, Jessicafurt, AR 46269"/>
    <s v="OID7256"/>
    <d v="2024-07-12T00:00:00"/>
    <x v="6"/>
    <s v="00:24:43"/>
    <x v="35"/>
    <n v="132.97"/>
    <n v="2"/>
    <n v="265.94"/>
    <x v="3"/>
    <n v="39.890999999999998"/>
    <n v="226.04900000000001"/>
    <n v="4"/>
    <n v="266.04899999999998"/>
    <n v="40"/>
    <d v="2024-07-14T00:00:00"/>
    <s v="08:45:35"/>
    <n v="305.94"/>
    <n v="2"/>
    <s v="BeforeTime"/>
    <n v="265.94"/>
    <n v="0.15"/>
    <n v="39.890999999999998"/>
    <n v="79.890999999999991"/>
  </r>
  <r>
    <s v="CID133"/>
    <s v="Donna"/>
    <s v="Oneill"/>
    <x v="36"/>
    <n v="70"/>
    <x v="1"/>
    <x v="2"/>
    <s v="donna.oneill@yahoo.com"/>
    <s v="464 Carolyn Crest Suite 738, Lake Isaiah, CA 66153"/>
    <s v="OID2170"/>
    <d v="2023-10-25T00:00:00"/>
    <x v="11"/>
    <s v="07:52:23"/>
    <x v="36"/>
    <n v="129.75"/>
    <n v="2"/>
    <n v="259.5"/>
    <x v="0"/>
    <n v="51.900000000000006"/>
    <n v="207.6"/>
    <n v="5"/>
    <n v="249.6"/>
    <n v="42"/>
    <d v="2023-10-28T00:00:00"/>
    <s v="17:14:10"/>
    <n v="301.5"/>
    <n v="3"/>
    <s v="BeforeTime"/>
    <n v="259.5"/>
    <n v="0.2"/>
    <n v="51.900000000000006"/>
    <n v="93.9"/>
  </r>
  <r>
    <s v="CID155"/>
    <s v="Courtney"/>
    <s v="Parker"/>
    <x v="79"/>
    <n v="29"/>
    <x v="2"/>
    <x v="6"/>
    <s v="courtney.parker@yahoo.com"/>
    <s v="087 Jacqueline Rue Apt. 694, East Tasha, SC 04859"/>
    <s v="OID5985"/>
    <d v="2024-11-20T00:00:00"/>
    <x v="2"/>
    <s v="14:57:23"/>
    <x v="36"/>
    <n v="129.75"/>
    <n v="2"/>
    <n v="259.5"/>
    <x v="4"/>
    <n v="0"/>
    <n v="259.5"/>
    <n v="4"/>
    <n v="312.5"/>
    <n v="53"/>
    <d v="2024-11-24T00:00:00"/>
    <s v="09:49:51"/>
    <n v="312.5"/>
    <n v="4"/>
    <s v="Intime"/>
    <n v="259.5"/>
    <n v="0"/>
    <n v="0"/>
    <n v="0"/>
  </r>
  <r>
    <s v="CID187"/>
    <s v="Jason"/>
    <s v="Lopez"/>
    <x v="14"/>
    <n v="40"/>
    <x v="2"/>
    <x v="2"/>
    <s v="jason.lopez@outlook.com"/>
    <s v="934 Levine View, Brentport, NE 38210"/>
    <s v="OID7850"/>
    <d v="2023-12-25T00:00:00"/>
    <x v="7"/>
    <s v="14:59:43"/>
    <x v="36"/>
    <n v="129.75"/>
    <n v="2"/>
    <n v="259.5"/>
    <x v="3"/>
    <n v="38.924999999999997"/>
    <n v="220.57499999999999"/>
    <n v="1"/>
    <n v="282.57499999999999"/>
    <n v="62"/>
    <d v="2023-12-30T00:00:00"/>
    <s v="06:29:31"/>
    <n v="321.5"/>
    <n v="5"/>
    <s v="Late"/>
    <n v="259.5"/>
    <n v="0.15"/>
    <n v="38.924999999999997"/>
    <n v="100.925"/>
  </r>
  <r>
    <s v="CID184"/>
    <s v="Aaron"/>
    <s v="Thompson"/>
    <x v="9"/>
    <n v="47"/>
    <x v="0"/>
    <x v="6"/>
    <s v="aaron.thompson@gmail.com"/>
    <s v="PSC 0550, Box 2737, APO AE 75772"/>
    <s v="OID1707"/>
    <d v="2024-08-25T00:00:00"/>
    <x v="3"/>
    <s v="21:05:38"/>
    <x v="36"/>
    <n v="129.75"/>
    <n v="2"/>
    <n v="259.5"/>
    <x v="0"/>
    <n v="51.900000000000006"/>
    <n v="207.6"/>
    <n v="5"/>
    <n v="254.6"/>
    <n v="47"/>
    <d v="2024-08-28T00:00:00"/>
    <s v="17:28:07"/>
    <n v="306.5"/>
    <n v="3"/>
    <s v="BeforeTime"/>
    <n v="259.5"/>
    <n v="0.2"/>
    <n v="51.900000000000006"/>
    <n v="98.9"/>
  </r>
  <r>
    <s v="CID150"/>
    <s v="Anthony"/>
    <s v="Thomas"/>
    <x v="76"/>
    <n v="53"/>
    <x v="0"/>
    <x v="1"/>
    <s v="anthony.thomas@rediffmail.com"/>
    <s v="931 Christopher Ways Suite 833, North Michelle, IN 53484"/>
    <s v="OID7156"/>
    <d v="2023-09-17T00:00:00"/>
    <x v="9"/>
    <s v="13:33:00"/>
    <x v="26"/>
    <n v="257.06"/>
    <n v="1"/>
    <n v="257.06"/>
    <x v="0"/>
    <n v="51.412000000000006"/>
    <n v="205.648"/>
    <n v="5"/>
    <n v="269.64800000000002"/>
    <n v="64"/>
    <d v="2023-09-19T00:00:00"/>
    <s v="16:40:47"/>
    <n v="321.06"/>
    <n v="2"/>
    <s v="BeforeTime"/>
    <n v="257.06"/>
    <n v="0.2"/>
    <n v="51.412000000000006"/>
    <n v="115.41200000000001"/>
  </r>
  <r>
    <s v="CID117"/>
    <s v="Hannah"/>
    <s v="Gutierrez"/>
    <x v="38"/>
    <n v="55"/>
    <x v="0"/>
    <x v="5"/>
    <s v="hannah.gutierrez@yahoo.com"/>
    <s v="2420 David Manors, Jessicaland, CT 41698"/>
    <s v="OID2523"/>
    <d v="2024-05-09T00:00:00"/>
    <x v="1"/>
    <s v="05:46:53"/>
    <x v="26"/>
    <n v="257.06"/>
    <n v="1"/>
    <n v="257.06"/>
    <x v="0"/>
    <n v="51.412000000000006"/>
    <n v="205.648"/>
    <n v="4"/>
    <n v="247.648"/>
    <n v="42"/>
    <d v="2024-05-11T00:00:00"/>
    <s v="01:30:58"/>
    <n v="299.06"/>
    <n v="2"/>
    <s v="BeforeTime"/>
    <n v="257.06"/>
    <n v="0.2"/>
    <n v="51.412000000000006"/>
    <n v="93.412000000000006"/>
  </r>
  <r>
    <s v="CID169"/>
    <s v="Robert"/>
    <s v="Castillo"/>
    <x v="83"/>
    <n v="32"/>
    <x v="0"/>
    <x v="2"/>
    <s v="robert.castillo@gmail.com"/>
    <s v="7143 Brandon Skyway Suite 899, Tylerton, IA 21756"/>
    <s v="OID9478"/>
    <d v="2023-11-27T00:00:00"/>
    <x v="2"/>
    <s v="17:54:41"/>
    <x v="26"/>
    <n v="257.06"/>
    <n v="1"/>
    <n v="257.06"/>
    <x v="1"/>
    <n v="20.564800000000002"/>
    <n v="236.49520000000001"/>
    <n v="3"/>
    <n v="283.49520000000001"/>
    <n v="47"/>
    <d v="2023-11-29T00:00:00"/>
    <s v="08:42:42"/>
    <n v="304.06"/>
    <n v="2"/>
    <s v="BeforeTime"/>
    <n v="257.06"/>
    <n v="0.08"/>
    <n v="20.564800000000002"/>
    <n v="67.564800000000005"/>
  </r>
  <r>
    <s v="CID158"/>
    <s v="Angela"/>
    <s v="Evans"/>
    <x v="52"/>
    <n v="52"/>
    <x v="2"/>
    <x v="1"/>
    <s v="angela.evans@outlook.com"/>
    <s v="16031 David Mountain Suite 431, Susanborough, PA 01910"/>
    <s v="OID9964"/>
    <d v="2023-08-08T00:00:00"/>
    <x v="3"/>
    <s v="19:13:06"/>
    <x v="38"/>
    <n v="126.19"/>
    <n v="2"/>
    <n v="252.38"/>
    <x v="4"/>
    <n v="0"/>
    <n v="252.38"/>
    <n v="3"/>
    <n v="315.38"/>
    <n v="63"/>
    <d v="2023-08-12T00:00:00"/>
    <s v="04:38:19"/>
    <n v="315.38"/>
    <n v="4"/>
    <s v="Late"/>
    <n v="252.38"/>
    <n v="0"/>
    <n v="0"/>
    <n v="0"/>
  </r>
  <r>
    <s v="CID116"/>
    <s v="John"/>
    <s v="Ramirez"/>
    <x v="26"/>
    <n v="28"/>
    <x v="2"/>
    <x v="7"/>
    <s v="john.ramirez@outlook.com"/>
    <s v="02797 Martin Landing, South Michelle, VT 98781"/>
    <s v="OID9915"/>
    <d v="2024-07-22T00:00:00"/>
    <x v="6"/>
    <s v="03:34:35"/>
    <x v="38"/>
    <n v="126.19"/>
    <n v="2"/>
    <n v="252.38"/>
    <x v="1"/>
    <n v="20.1904"/>
    <n v="232.18959999999998"/>
    <n v="7"/>
    <n v="280.18959999999998"/>
    <n v="48"/>
    <d v="2024-07-23T00:00:00"/>
    <s v="00:26:45"/>
    <n v="300.38"/>
    <n v="1"/>
    <s v="BeforeTime"/>
    <n v="252.38"/>
    <n v="0.08"/>
    <n v="20.1904"/>
    <n v="68.190399999999997"/>
  </r>
  <r>
    <s v="CID162"/>
    <s v="Mark"/>
    <s v="Summers"/>
    <x v="7"/>
    <n v="55"/>
    <x v="0"/>
    <x v="5"/>
    <s v="mark.summers@outlook.com"/>
    <s v="08413 Lynch Parkway, Calderonstad, NV 32697"/>
    <s v="OID2938"/>
    <d v="2023-08-30T00:00:00"/>
    <x v="3"/>
    <s v="19:46:32"/>
    <x v="38"/>
    <n v="126.19"/>
    <n v="2"/>
    <n v="252.38"/>
    <x v="4"/>
    <n v="0"/>
    <n v="252.38"/>
    <n v="5"/>
    <n v="311.38"/>
    <n v="59"/>
    <d v="2023-09-05T00:00:00"/>
    <s v="23:22:12"/>
    <n v="311.38"/>
    <n v="6"/>
    <s v="Late"/>
    <n v="252.38"/>
    <n v="0"/>
    <n v="0"/>
    <n v="0"/>
  </r>
  <r>
    <s v="CID140"/>
    <s v="Beth"/>
    <s v="Mason"/>
    <x v="62"/>
    <n v="45"/>
    <x v="2"/>
    <x v="6"/>
    <s v="beth.mason@outlook.com"/>
    <s v="58998 Sherry Haven, East Richard, FL 90775"/>
    <s v="OID3388"/>
    <d v="2023-09-21T00:00:00"/>
    <x v="9"/>
    <s v="01:16:23"/>
    <x v="38"/>
    <n v="126.19"/>
    <n v="2"/>
    <n v="252.38"/>
    <x v="0"/>
    <n v="50.475999999999999"/>
    <n v="201.904"/>
    <n v="4"/>
    <n v="268.904"/>
    <n v="67"/>
    <d v="2023-09-27T00:00:00"/>
    <s v="21:24:42"/>
    <n v="319.38"/>
    <n v="6"/>
    <s v="Late"/>
    <n v="252.38"/>
    <n v="0.2"/>
    <n v="50.475999999999999"/>
    <n v="117.476"/>
  </r>
  <r>
    <s v="CID123"/>
    <s v="Christy"/>
    <s v="Chang"/>
    <x v="49"/>
    <n v="38"/>
    <x v="0"/>
    <x v="3"/>
    <s v="christy.chang@outlook.com"/>
    <s v="4647 Hannah Centers, Rhodesburgh, NH 89363"/>
    <s v="OID6420"/>
    <d v="2024-01-27T00:00:00"/>
    <x v="4"/>
    <s v="18:18:32"/>
    <x v="44"/>
    <n v="62.42"/>
    <n v="4"/>
    <n v="249.68"/>
    <x v="0"/>
    <n v="49.936000000000007"/>
    <n v="199.744"/>
    <n v="4"/>
    <n v="236.744"/>
    <n v="37"/>
    <d v="2024-01-30T00:00:00"/>
    <s v="10:39:26"/>
    <n v="286.68"/>
    <n v="3"/>
    <s v="BeforeTime"/>
    <n v="249.68"/>
    <n v="0.2"/>
    <n v="49.936000000000007"/>
    <n v="86.936000000000007"/>
  </r>
  <r>
    <s v="CID178"/>
    <s v="Amy"/>
    <s v="Reid"/>
    <x v="34"/>
    <n v="44"/>
    <x v="0"/>
    <x v="6"/>
    <s v="amy.reid@rediffmail.com"/>
    <s v="6262 Simpson Village, North Danielle, RI 76074"/>
    <s v="OID5186"/>
    <d v="2024-05-10T00:00:00"/>
    <x v="1"/>
    <s v="05:26:44"/>
    <x v="44"/>
    <n v="62.42"/>
    <n v="4"/>
    <n v="249.68"/>
    <x v="3"/>
    <n v="37.451999999999998"/>
    <n v="212.22800000000001"/>
    <n v="1"/>
    <n v="279.22800000000001"/>
    <n v="67"/>
    <d v="2024-05-14T00:00:00"/>
    <s v="06:17:48"/>
    <n v="316.68"/>
    <n v="4"/>
    <s v="Late"/>
    <n v="249.68"/>
    <n v="0.15"/>
    <n v="37.451999999999998"/>
    <n v="104.452"/>
  </r>
  <r>
    <s v="CID162"/>
    <s v="Mark"/>
    <s v="Summers"/>
    <x v="7"/>
    <n v="55"/>
    <x v="0"/>
    <x v="5"/>
    <s v="mark.summers@outlook.com"/>
    <s v="08413 Lynch Parkway, Calderonstad, NV 32697"/>
    <s v="OID7302"/>
    <d v="2024-05-02T00:00:00"/>
    <x v="1"/>
    <s v="03:43:05"/>
    <x v="44"/>
    <n v="62.42"/>
    <n v="4"/>
    <n v="249.68"/>
    <x v="2"/>
    <n v="24.968000000000004"/>
    <n v="224.71199999999999"/>
    <n v="6"/>
    <n v="267.71199999999999"/>
    <n v="43"/>
    <d v="2024-05-08T00:00:00"/>
    <s v="17:57:56"/>
    <n v="292.68"/>
    <n v="6"/>
    <s v="Intime"/>
    <n v="249.68"/>
    <n v="0.1"/>
    <n v="24.968000000000004"/>
    <n v="67.968000000000004"/>
  </r>
  <r>
    <s v="CID136"/>
    <s v="Brittany"/>
    <s v="Stewart"/>
    <x v="33"/>
    <n v="68"/>
    <x v="2"/>
    <x v="3"/>
    <s v="brittany.stewart@gmail.com"/>
    <s v="6250 David Loaf Suite 561, North Pamelaberg, WV 63652"/>
    <s v="OID2861"/>
    <d v="2024-10-25T00:00:00"/>
    <x v="11"/>
    <s v="20:38:05"/>
    <x v="44"/>
    <n v="62.42"/>
    <n v="4"/>
    <n v="249.68"/>
    <x v="4"/>
    <n v="0"/>
    <n v="249.68"/>
    <n v="4"/>
    <n v="286.68"/>
    <n v="37"/>
    <d v="2024-11-01T00:00:00"/>
    <s v="02:58:16"/>
    <n v="286.68"/>
    <n v="7"/>
    <s v="Late"/>
    <n v="249.68"/>
    <n v="0"/>
    <n v="0"/>
    <n v="0"/>
  </r>
  <r>
    <s v="CID145"/>
    <s v="Ashley"/>
    <s v="Romero"/>
    <x v="88"/>
    <n v="35"/>
    <x v="1"/>
    <x v="0"/>
    <s v="ashley.romero@yahoo.com"/>
    <s v="547 Kerry Expressway, Lake Amanda, AR 20321"/>
    <s v="OID3209"/>
    <d v="2024-10-16T00:00:00"/>
    <x v="11"/>
    <s v="06:49:56"/>
    <x v="45"/>
    <n v="48.45"/>
    <n v="5"/>
    <n v="242.25"/>
    <x v="2"/>
    <n v="24.225000000000001"/>
    <n v="218.02500000000001"/>
    <n v="7"/>
    <n v="271.02499999999998"/>
    <n v="53"/>
    <d v="2024-10-23T00:00:00"/>
    <s v="22:10:44"/>
    <n v="295.25"/>
    <n v="7"/>
    <s v="Intime"/>
    <n v="242.25"/>
    <n v="0.1"/>
    <n v="24.225000000000001"/>
    <n v="77.224999999999994"/>
  </r>
  <r>
    <s v="CID171"/>
    <s v="Leslie"/>
    <s v="Montgomery"/>
    <x v="53"/>
    <n v="26"/>
    <x v="0"/>
    <x v="5"/>
    <s v="leslie.montgomery@gmail.com"/>
    <s v="135 Teresa Oval Apt. 825, East Katherineport, WY 13714"/>
    <s v="OID3967"/>
    <d v="2023-10-27T00:00:00"/>
    <x v="11"/>
    <s v="20:10:38"/>
    <x v="22"/>
    <n v="235.63"/>
    <n v="1"/>
    <n v="235.63"/>
    <x v="0"/>
    <n v="47.126000000000005"/>
    <n v="188.50399999999999"/>
    <n v="2"/>
    <n v="254.50399999999999"/>
    <n v="66"/>
    <d v="2023-11-03T00:00:00"/>
    <s v="03:43:44"/>
    <n v="301.63"/>
    <n v="7"/>
    <s v="Late"/>
    <n v="235.63"/>
    <n v="0.2"/>
    <n v="47.126000000000005"/>
    <n v="113.126"/>
  </r>
  <r>
    <s v="CID104"/>
    <s v="Gary"/>
    <s v="Huff"/>
    <x v="48"/>
    <n v="18"/>
    <x v="1"/>
    <x v="4"/>
    <s v="gary.huff@gmail.com"/>
    <s v="58608 Alexander Terrace, South Bryan, SC 85541"/>
    <s v="OID9627"/>
    <d v="2024-02-27T00:00:00"/>
    <x v="10"/>
    <s v="12:28:28"/>
    <x v="22"/>
    <n v="235.63"/>
    <n v="1"/>
    <n v="235.63"/>
    <x v="1"/>
    <n v="18.8504"/>
    <n v="216.77959999999999"/>
    <n v="6"/>
    <n v="274.77959999999996"/>
    <n v="58"/>
    <d v="2024-03-03T00:00:00"/>
    <s v="12:21:43"/>
    <n v="293.63"/>
    <n v="5"/>
    <s v="BeforeTime"/>
    <n v="235.63"/>
    <n v="0.08"/>
    <n v="18.8504"/>
    <n v="76.850400000000008"/>
  </r>
  <r>
    <s v="CID113"/>
    <s v="Brendan"/>
    <s v="Kelly"/>
    <x v="23"/>
    <n v="50"/>
    <x v="2"/>
    <x v="2"/>
    <s v="brendan.kelly@rediffmail.com"/>
    <s v="688 Donald Oval Suite 089, Shepardport, CA 50844"/>
    <s v="OID8913"/>
    <d v="2025-01-27T00:00:00"/>
    <x v="4"/>
    <s v="20:53:04"/>
    <x v="22"/>
    <n v="235.63"/>
    <n v="1"/>
    <n v="235.63"/>
    <x v="0"/>
    <n v="47.126000000000005"/>
    <n v="188.50399999999999"/>
    <n v="7"/>
    <n v="234.50399999999999"/>
    <n v="46"/>
    <d v="2025-02-01T00:00:00"/>
    <s v="00:48:16"/>
    <n v="281.63"/>
    <n v="5"/>
    <s v="BeforeTime"/>
    <n v="235.63"/>
    <n v="0.2"/>
    <n v="47.126000000000005"/>
    <n v="93.126000000000005"/>
  </r>
  <r>
    <s v="CID193"/>
    <s v="Ashley"/>
    <s v="Rose"/>
    <x v="42"/>
    <n v="60"/>
    <x v="2"/>
    <x v="0"/>
    <s v="ashley.rose@gmail.com"/>
    <s v="424 Nichols Curve Suite 177, Lake Brianview, TX 17289"/>
    <s v="OID3681"/>
    <d v="2024-07-25T00:00:00"/>
    <x v="6"/>
    <s v="08:45:23"/>
    <x v="22"/>
    <n v="235.63"/>
    <n v="1"/>
    <n v="235.63"/>
    <x v="2"/>
    <n v="23.563000000000002"/>
    <n v="212.06700000000001"/>
    <n v="1"/>
    <n v="250.06700000000001"/>
    <n v="38"/>
    <d v="2024-07-31T00:00:00"/>
    <s v="15:13:07"/>
    <n v="273.63"/>
    <n v="6"/>
    <s v="Late"/>
    <n v="235.63"/>
    <n v="0.1"/>
    <n v="23.563000000000002"/>
    <n v="61.563000000000002"/>
  </r>
  <r>
    <s v="CID173"/>
    <s v="Susan"/>
    <s v="Thompson"/>
    <x v="18"/>
    <n v="37"/>
    <x v="2"/>
    <x v="3"/>
    <s v="susan.thompson@outlook.com"/>
    <s v="47821 William Station, East Ashleymouth, FL 20562"/>
    <s v="OID1013"/>
    <d v="2023-09-18T00:00:00"/>
    <x v="9"/>
    <s v="20:28:31"/>
    <x v="22"/>
    <n v="235.63"/>
    <n v="1"/>
    <n v="235.63"/>
    <x v="0"/>
    <n v="47.126000000000005"/>
    <n v="188.50399999999999"/>
    <n v="5"/>
    <n v="247.50399999999999"/>
    <n v="59"/>
    <d v="2023-09-23T00:00:00"/>
    <s v="22:26:18"/>
    <n v="294.63"/>
    <n v="5"/>
    <s v="Intime"/>
    <n v="235.63"/>
    <n v="0.2"/>
    <n v="47.126000000000005"/>
    <n v="106.126"/>
  </r>
  <r>
    <s v="CID158"/>
    <s v="Angela"/>
    <s v="Evans"/>
    <x v="52"/>
    <n v="52"/>
    <x v="2"/>
    <x v="1"/>
    <s v="angela.evans@outlook.com"/>
    <s v="16031 David Mountain Suite 431, Susanborough, PA 01910"/>
    <s v="OID1661"/>
    <d v="2023-12-09T00:00:00"/>
    <x v="7"/>
    <s v="11:10:43"/>
    <x v="22"/>
    <n v="235.63"/>
    <n v="1"/>
    <n v="235.63"/>
    <x v="4"/>
    <n v="0"/>
    <n v="235.63"/>
    <n v="6"/>
    <n v="270.63"/>
    <n v="35"/>
    <d v="2023-12-12T00:00:00"/>
    <s v="14:43:30"/>
    <n v="270.63"/>
    <n v="3"/>
    <s v="BeforeTime"/>
    <n v="235.63"/>
    <n v="0"/>
    <n v="0"/>
    <n v="0"/>
  </r>
  <r>
    <s v="CID198"/>
    <s v="David"/>
    <s v="Delacruz"/>
    <x v="67"/>
    <n v="26"/>
    <x v="0"/>
    <x v="6"/>
    <s v="david.delacruz@rediffmail.com"/>
    <s v="USNS Ray, FPO AE 20238"/>
    <s v="OID1769"/>
    <d v="2024-06-06T00:00:00"/>
    <x v="8"/>
    <s v="18:51:12"/>
    <x v="22"/>
    <n v="235.63"/>
    <n v="1"/>
    <n v="235.63"/>
    <x v="3"/>
    <n v="35.344499999999996"/>
    <n v="200.28550000000001"/>
    <n v="3"/>
    <n v="255.28550000000001"/>
    <n v="55"/>
    <d v="2024-06-12T00:00:00"/>
    <s v="01:58:20"/>
    <n v="290.63"/>
    <n v="6"/>
    <s v="Late"/>
    <n v="235.63"/>
    <n v="0.15"/>
    <n v="35.344499999999996"/>
    <n v="90.344499999999996"/>
  </r>
  <r>
    <s v="CID183"/>
    <s v="Troy"/>
    <s v="Gomez"/>
    <x v="47"/>
    <n v="68"/>
    <x v="1"/>
    <x v="3"/>
    <s v="troy.gomez@outlook.com"/>
    <s v="7510 Jose Knolls, Candicechester, LA 62815"/>
    <s v="OID2412"/>
    <d v="2023-03-22T00:00:00"/>
    <x v="5"/>
    <s v="14:35:45"/>
    <x v="46"/>
    <n v="44.5"/>
    <n v="5"/>
    <n v="222.5"/>
    <x v="2"/>
    <n v="22.25"/>
    <n v="200.25"/>
    <n v="4"/>
    <n v="255.25"/>
    <n v="55"/>
    <d v="2023-03-27T00:00:00"/>
    <s v="07:09:27"/>
    <n v="277.5"/>
    <n v="5"/>
    <s v="Late"/>
    <n v="222.5"/>
    <n v="0.1"/>
    <n v="22.25"/>
    <n v="77.25"/>
  </r>
  <r>
    <s v="CID185"/>
    <s v="Melissa"/>
    <s v="Levy"/>
    <x v="94"/>
    <n v="30"/>
    <x v="1"/>
    <x v="5"/>
    <s v="melissa.levy@rediffmail.com"/>
    <s v="3303 Kennedy Springs Suite 830, East Amybury, MI 95595"/>
    <s v="OID1686"/>
    <d v="2024-04-24T00:00:00"/>
    <x v="0"/>
    <s v="20:32:03"/>
    <x v="39"/>
    <n v="110.95"/>
    <n v="2"/>
    <n v="221.9"/>
    <x v="1"/>
    <n v="17.752000000000002"/>
    <n v="204.148"/>
    <n v="4"/>
    <n v="272.14800000000002"/>
    <n v="68"/>
    <d v="2024-04-26T00:00:00"/>
    <s v="16:26:05"/>
    <n v="289.89999999999998"/>
    <n v="2"/>
    <s v="BeforeTime"/>
    <n v="221.9"/>
    <n v="0.08"/>
    <n v="17.752000000000002"/>
    <n v="85.75200000000001"/>
  </r>
  <r>
    <s v="CID156"/>
    <s v="Gregory"/>
    <s v="Lee"/>
    <x v="87"/>
    <n v="26"/>
    <x v="2"/>
    <x v="4"/>
    <s v="gregory.lee@rediffmail.com"/>
    <s v="619 Parker Turnpike Apt. 025, West Brucehaven, ID 48437"/>
    <s v="OID9451"/>
    <d v="2024-04-07T00:00:00"/>
    <x v="0"/>
    <s v="21:47:08"/>
    <x v="39"/>
    <n v="110.95"/>
    <n v="2"/>
    <n v="221.9"/>
    <x v="0"/>
    <n v="44.38"/>
    <n v="177.52"/>
    <n v="3"/>
    <n v="213.52"/>
    <n v="36"/>
    <d v="2024-04-12T00:00:00"/>
    <s v="12:42:34"/>
    <n v="257.89999999999998"/>
    <n v="5"/>
    <s v="Late"/>
    <n v="221.9"/>
    <n v="0.2"/>
    <n v="44.38"/>
    <n v="80.38"/>
  </r>
  <r>
    <s v="CID112"/>
    <s v="Lindsey"/>
    <s v="Byrd"/>
    <x v="13"/>
    <n v="32"/>
    <x v="1"/>
    <x v="5"/>
    <s v="lindsey.byrd@rediffmail.com"/>
    <s v="USCGC Harper, FPO AA 38349"/>
    <s v="OID1379"/>
    <d v="2024-10-23T00:00:00"/>
    <x v="11"/>
    <s v="11:50:19"/>
    <x v="40"/>
    <n v="107.47"/>
    <n v="2"/>
    <n v="214.94"/>
    <x v="3"/>
    <n v="32.241"/>
    <n v="182.69900000000001"/>
    <n v="5"/>
    <n v="237.69900000000001"/>
    <n v="55"/>
    <d v="2024-10-27T00:00:00"/>
    <s v="11:48:40"/>
    <n v="269.94"/>
    <n v="4"/>
    <s v="BeforeTime"/>
    <n v="214.94"/>
    <n v="0.15"/>
    <n v="32.241"/>
    <n v="87.241"/>
  </r>
  <r>
    <s v="CID137"/>
    <s v="Gina"/>
    <s v="Moreno"/>
    <x v="35"/>
    <n v="36"/>
    <x v="2"/>
    <x v="7"/>
    <s v="gina.moreno@rediffmail.com"/>
    <s v="USS Murray, FPO AP 66559"/>
    <s v="OID6123"/>
    <d v="2024-09-07T00:00:00"/>
    <x v="9"/>
    <s v="19:16:28"/>
    <x v="41"/>
    <n v="104.18"/>
    <n v="2"/>
    <n v="208.36"/>
    <x v="4"/>
    <n v="0"/>
    <n v="208.36"/>
    <n v="4"/>
    <n v="252.36"/>
    <n v="44"/>
    <d v="2024-09-10T00:00:00"/>
    <s v="03:46:23"/>
    <n v="252.36"/>
    <n v="3"/>
    <s v="BeforeTime"/>
    <n v="208.36"/>
    <n v="0"/>
    <n v="0"/>
    <n v="0"/>
  </r>
  <r>
    <s v="CID107"/>
    <s v="Lisa"/>
    <s v="Miller"/>
    <x v="37"/>
    <n v="70"/>
    <x v="0"/>
    <x v="6"/>
    <s v="lisa.miller@gmail.com"/>
    <s v="89748 Campbell Drive, South Tannerland, WI 13143"/>
    <s v="OID9584"/>
    <d v="2023-03-20T00:00:00"/>
    <x v="5"/>
    <s v="09:44:25"/>
    <x v="41"/>
    <n v="104.18"/>
    <n v="2"/>
    <n v="208.36"/>
    <x v="1"/>
    <n v="16.668800000000001"/>
    <n v="191.69120000000001"/>
    <n v="2"/>
    <n v="231.69120000000001"/>
    <n v="40"/>
    <d v="2023-03-25T00:00:00"/>
    <s v="09:50:58"/>
    <n v="248.36"/>
    <n v="5"/>
    <s v="Late"/>
    <n v="208.36"/>
    <n v="0.08"/>
    <n v="16.668800000000001"/>
    <n v="56.668800000000005"/>
  </r>
  <r>
    <s v="CID178"/>
    <s v="Amy"/>
    <s v="Reid"/>
    <x v="34"/>
    <n v="44"/>
    <x v="0"/>
    <x v="6"/>
    <s v="amy.reid@rediffmail.com"/>
    <s v="6262 Simpson Village, North Danielle, RI 76074"/>
    <s v="OID7059"/>
    <d v="2024-08-09T00:00:00"/>
    <x v="3"/>
    <s v="11:01:20"/>
    <x v="41"/>
    <n v="104.18"/>
    <n v="2"/>
    <n v="208.36"/>
    <x v="4"/>
    <n v="0"/>
    <n v="208.36"/>
    <n v="2"/>
    <n v="265.36"/>
    <n v="57"/>
    <d v="2024-08-11T00:00:00"/>
    <s v="12:21:09"/>
    <n v="265.36"/>
    <n v="2"/>
    <s v="Intime"/>
    <n v="208.36"/>
    <n v="0"/>
    <n v="0"/>
    <n v="0"/>
  </r>
  <r>
    <s v="CID113"/>
    <s v="Brendan"/>
    <s v="Kelly"/>
    <x v="23"/>
    <n v="50"/>
    <x v="2"/>
    <x v="2"/>
    <s v="brendan.kelly@rediffmail.com"/>
    <s v="688 Donald Oval Suite 089, Shepardport, CA 50844"/>
    <s v="OID5883"/>
    <d v="2024-12-30T00:00:00"/>
    <x v="7"/>
    <s v="21:08:26"/>
    <x v="41"/>
    <n v="104.18"/>
    <n v="2"/>
    <n v="208.36"/>
    <x v="3"/>
    <n v="31.254000000000001"/>
    <n v="177.10600000000002"/>
    <n v="5"/>
    <n v="242.10600000000002"/>
    <n v="65"/>
    <d v="2024-12-31T00:00:00"/>
    <s v="09:20:03"/>
    <n v="273.36"/>
    <n v="1"/>
    <s v="BeforeTime"/>
    <n v="208.36"/>
    <n v="0.15"/>
    <n v="31.254000000000001"/>
    <n v="96.254000000000005"/>
  </r>
  <r>
    <s v="CID117"/>
    <s v="Hannah"/>
    <s v="Gutierrez"/>
    <x v="38"/>
    <n v="55"/>
    <x v="0"/>
    <x v="5"/>
    <s v="hannah.gutierrez@yahoo.com"/>
    <s v="2420 David Manors, Jessicaland, CT 41698"/>
    <s v="OID5389"/>
    <d v="2023-09-17T00:00:00"/>
    <x v="9"/>
    <s v="14:52:37"/>
    <x v="41"/>
    <n v="104.18"/>
    <n v="2"/>
    <n v="208.36"/>
    <x v="1"/>
    <n v="16.668800000000001"/>
    <n v="191.69120000000001"/>
    <n v="4"/>
    <n v="234.69120000000001"/>
    <n v="43"/>
    <d v="2023-09-21T00:00:00"/>
    <s v="09:59:33"/>
    <n v="251.36"/>
    <n v="4"/>
    <s v="Intime"/>
    <n v="208.36"/>
    <n v="0.08"/>
    <n v="16.668800000000001"/>
    <n v="59.668800000000005"/>
  </r>
  <r>
    <s v="CID115"/>
    <s v="Karl"/>
    <s v="Gallagher"/>
    <x v="20"/>
    <n v="60"/>
    <x v="2"/>
    <x v="0"/>
    <s v="karl.gallagher@rediffmail.com"/>
    <s v="5016 Snow Mountains Apt. 063, New Seanport, WY 41492"/>
    <s v="OID7502"/>
    <d v="2024-02-20T00:00:00"/>
    <x v="10"/>
    <s v="07:31:36"/>
    <x v="27"/>
    <n v="202.54"/>
    <n v="1"/>
    <n v="202.54"/>
    <x v="3"/>
    <n v="30.380999999999997"/>
    <n v="172.15899999999999"/>
    <n v="3"/>
    <n v="219.15899999999999"/>
    <n v="47"/>
    <d v="2024-02-22T00:00:00"/>
    <s v="14:29:50"/>
    <n v="249.54"/>
    <n v="2"/>
    <s v="BeforeTime"/>
    <n v="202.54"/>
    <n v="0.15"/>
    <n v="30.380999999999997"/>
    <n v="77.381"/>
  </r>
  <r>
    <s v="CID153"/>
    <s v="Mitchell"/>
    <s v="Parker"/>
    <x v="39"/>
    <n v="39"/>
    <x v="2"/>
    <x v="1"/>
    <s v="mitchell.parker@yahoo.com"/>
    <s v="PSC 3316, Box 9303, APO AE 29513"/>
    <s v="OID6103"/>
    <d v="2024-11-13T00:00:00"/>
    <x v="2"/>
    <s v="00:43:57"/>
    <x v="27"/>
    <n v="202.54"/>
    <n v="1"/>
    <n v="202.54"/>
    <x v="1"/>
    <n v="16.203199999999999"/>
    <n v="186.33679999999998"/>
    <n v="4"/>
    <n v="234.33679999999998"/>
    <n v="48"/>
    <d v="2024-11-15T00:00:00"/>
    <s v="04:56:51"/>
    <n v="250.54"/>
    <n v="2"/>
    <s v="BeforeTime"/>
    <n v="202.54"/>
    <n v="0.08"/>
    <n v="16.203199999999999"/>
    <n v="64.203199999999995"/>
  </r>
  <r>
    <s v="CID147"/>
    <s v="Mallory"/>
    <s v="Mitchell"/>
    <x v="85"/>
    <n v="42"/>
    <x v="0"/>
    <x v="2"/>
    <s v="mallory.mitchell@yahoo.com"/>
    <s v="710 Anthony Wall Suite 137, East Davidstad, NV 61494"/>
    <s v="OID1699"/>
    <d v="2025-01-08T00:00:00"/>
    <x v="4"/>
    <s v="11:48:17"/>
    <x v="45"/>
    <n v="48.45"/>
    <n v="4"/>
    <n v="193.8"/>
    <x v="2"/>
    <n v="19.380000000000003"/>
    <n v="174.42000000000002"/>
    <n v="1"/>
    <n v="244.42000000000002"/>
    <n v="70"/>
    <d v="2025-01-13T00:00:00"/>
    <s v="10:08:54"/>
    <n v="263.8"/>
    <n v="5"/>
    <s v="Late"/>
    <n v="193.8"/>
    <n v="0.1"/>
    <n v="19.380000000000003"/>
    <n v="89.38"/>
  </r>
  <r>
    <s v="CID172"/>
    <s v="Kara"/>
    <s v="Brennan"/>
    <x v="77"/>
    <n v="25"/>
    <x v="2"/>
    <x v="7"/>
    <s v="kara.brennan@outlook.com"/>
    <s v="2174 Thomas Avenue, Maciasborough, NJ 41465"/>
    <s v="OID3509"/>
    <d v="2023-12-07T00:00:00"/>
    <x v="7"/>
    <s v="14:52:54"/>
    <x v="28"/>
    <n v="190.1"/>
    <n v="1"/>
    <n v="190.1"/>
    <x v="4"/>
    <n v="0"/>
    <n v="190.1"/>
    <n v="1"/>
    <n v="260.10000000000002"/>
    <n v="70"/>
    <d v="2023-12-10T00:00:00"/>
    <s v="15:16:54"/>
    <n v="260.10000000000002"/>
    <n v="3"/>
    <s v="Late"/>
    <n v="190.1"/>
    <n v="0"/>
    <n v="0"/>
    <n v="0"/>
  </r>
  <r>
    <s v="CID180"/>
    <s v="Thomas"/>
    <s v="Andersen"/>
    <x v="63"/>
    <n v="50"/>
    <x v="2"/>
    <x v="7"/>
    <s v="thomas.andersen@yahoo.com"/>
    <s v="480 Summers Lock Suite 819, Sarahborough, IA 59863"/>
    <s v="OID8494"/>
    <d v="2023-03-02T00:00:00"/>
    <x v="5"/>
    <s v="18:49:59"/>
    <x v="28"/>
    <n v="190.1"/>
    <n v="1"/>
    <n v="190.1"/>
    <x v="0"/>
    <n v="38.020000000000003"/>
    <n v="152.07999999999998"/>
    <n v="4"/>
    <n v="215.07999999999998"/>
    <n v="63"/>
    <d v="2023-03-07T00:00:00"/>
    <s v="00:31:21"/>
    <n v="253.1"/>
    <n v="5"/>
    <s v="Late"/>
    <n v="190.1"/>
    <n v="0.2"/>
    <n v="38.020000000000003"/>
    <n v="101.02000000000001"/>
  </r>
  <r>
    <s v="CID176"/>
    <s v="Joshua"/>
    <s v="Campbell"/>
    <x v="50"/>
    <n v="24"/>
    <x v="1"/>
    <x v="5"/>
    <s v="joshua.campbell@gmail.com"/>
    <s v="70426 Lindsey Overpass Apt. 030, Jessicafurt, AR 46269"/>
    <s v="OID1693"/>
    <d v="2023-10-07T00:00:00"/>
    <x v="11"/>
    <s v="18:29:39"/>
    <x v="28"/>
    <n v="190.1"/>
    <n v="1"/>
    <n v="190.1"/>
    <x v="0"/>
    <n v="38.020000000000003"/>
    <n v="152.07999999999998"/>
    <n v="3"/>
    <n v="215.07999999999998"/>
    <n v="63"/>
    <d v="2023-10-08T00:00:00"/>
    <s v="02:01:44"/>
    <n v="253.1"/>
    <n v="1"/>
    <s v="BeforeTime"/>
    <n v="190.1"/>
    <n v="0.2"/>
    <n v="38.020000000000003"/>
    <n v="101.02000000000001"/>
  </r>
  <r>
    <s v="CID161"/>
    <s v="Heather"/>
    <s v="Schneider"/>
    <x v="43"/>
    <n v="48"/>
    <x v="0"/>
    <x v="6"/>
    <s v="heather.schneider@outlook.com"/>
    <s v="57940 Susan Creek Apt. 541, Port Aliciamouth, OR 90221"/>
    <s v="OID6974"/>
    <d v="2024-04-25T00:00:00"/>
    <x v="0"/>
    <s v="01:48:02"/>
    <x v="44"/>
    <n v="62.42"/>
    <n v="3"/>
    <n v="187.26"/>
    <x v="1"/>
    <n v="14.9808"/>
    <n v="172.2792"/>
    <n v="4"/>
    <n v="208.2792"/>
    <n v="36"/>
    <d v="2024-05-02T00:00:00"/>
    <s v="09:55:32"/>
    <n v="223.26"/>
    <n v="7"/>
    <s v="Late"/>
    <n v="187.26"/>
    <n v="0.08"/>
    <n v="14.9808"/>
    <n v="50.980800000000002"/>
  </r>
  <r>
    <s v="CID190"/>
    <s v="Valerie"/>
    <s v="Carr"/>
    <x v="10"/>
    <n v="26"/>
    <x v="2"/>
    <x v="2"/>
    <s v="valerie.carr@rediffmail.com"/>
    <s v="981 Emily Stream, South Brianna, CO 98063"/>
    <s v="OID7380"/>
    <d v="2023-05-07T00:00:00"/>
    <x v="1"/>
    <s v="00:13:11"/>
    <x v="44"/>
    <n v="62.42"/>
    <n v="3"/>
    <n v="187.26"/>
    <x v="3"/>
    <n v="28.088999999999999"/>
    <n v="159.17099999999999"/>
    <n v="5"/>
    <n v="221.17099999999999"/>
    <n v="62"/>
    <d v="2023-05-12T00:00:00"/>
    <s v="18:31:17"/>
    <n v="249.26"/>
    <n v="5"/>
    <s v="Intime"/>
    <n v="187.26"/>
    <n v="0.15"/>
    <n v="28.088999999999999"/>
    <n v="90.088999999999999"/>
  </r>
  <r>
    <s v="CID162"/>
    <s v="Mark"/>
    <s v="Summers"/>
    <x v="7"/>
    <n v="55"/>
    <x v="0"/>
    <x v="5"/>
    <s v="mark.summers@outlook.com"/>
    <s v="08413 Lynch Parkway, Calderonstad, NV 32697"/>
    <s v="OID3969"/>
    <d v="2023-04-10T00:00:00"/>
    <x v="0"/>
    <s v="22:48:36"/>
    <x v="44"/>
    <n v="62.42"/>
    <n v="3"/>
    <n v="187.26"/>
    <x v="1"/>
    <n v="14.9808"/>
    <n v="172.2792"/>
    <n v="3"/>
    <n v="209.2792"/>
    <n v="37"/>
    <d v="2023-04-15T00:00:00"/>
    <s v="11:30:05"/>
    <n v="224.26"/>
    <n v="5"/>
    <s v="Late"/>
    <n v="187.26"/>
    <n v="0.08"/>
    <n v="14.9808"/>
    <n v="51.980800000000002"/>
  </r>
  <r>
    <s v="CID147"/>
    <s v="Mallory"/>
    <s v="Mitchell"/>
    <x v="85"/>
    <n v="42"/>
    <x v="0"/>
    <x v="2"/>
    <s v="mallory.mitchell@yahoo.com"/>
    <s v="710 Anthony Wall Suite 137, East Davidstad, NV 61494"/>
    <s v="OID8446"/>
    <d v="2023-07-21T00:00:00"/>
    <x v="6"/>
    <s v="02:53:11"/>
    <x v="44"/>
    <n v="62.42"/>
    <n v="3"/>
    <n v="187.26"/>
    <x v="1"/>
    <n v="14.9808"/>
    <n v="172.2792"/>
    <n v="6"/>
    <n v="211.2792"/>
    <n v="39"/>
    <d v="2023-07-22T00:00:00"/>
    <s v="03:53:13"/>
    <n v="226.26"/>
    <n v="1"/>
    <s v="BeforeTime"/>
    <n v="187.26"/>
    <n v="0.08"/>
    <n v="14.9808"/>
    <n v="53.980800000000002"/>
  </r>
  <r>
    <s v="CID116"/>
    <s v="John"/>
    <s v="Ramirez"/>
    <x v="26"/>
    <n v="28"/>
    <x v="2"/>
    <x v="7"/>
    <s v="john.ramirez@outlook.com"/>
    <s v="02797 Martin Landing, South Michelle, VT 98781"/>
    <s v="OID1956"/>
    <d v="2024-03-14T00:00:00"/>
    <x v="5"/>
    <s v="15:34:34"/>
    <x v="46"/>
    <n v="44.5"/>
    <n v="4"/>
    <n v="178"/>
    <x v="1"/>
    <n v="14.24"/>
    <n v="163.76"/>
    <n v="2"/>
    <n v="203.76"/>
    <n v="40"/>
    <d v="2024-03-17T00:00:00"/>
    <s v="01:12:58"/>
    <n v="218"/>
    <n v="3"/>
    <s v="Late"/>
    <n v="178"/>
    <n v="0.08"/>
    <n v="14.24"/>
    <n v="54.24"/>
  </r>
  <r>
    <s v="CID109"/>
    <s v="Rachael"/>
    <s v="Robinson"/>
    <x v="75"/>
    <n v="24"/>
    <x v="2"/>
    <x v="3"/>
    <s v="rachael.robinson@rediffmail.com"/>
    <s v="0889 Brady Points, Port Meganhaven, NM 26553"/>
    <s v="OID1153"/>
    <d v="2024-08-21T00:00:00"/>
    <x v="3"/>
    <s v="08:45:48"/>
    <x v="46"/>
    <n v="44.5"/>
    <n v="4"/>
    <n v="178"/>
    <x v="1"/>
    <n v="14.24"/>
    <n v="163.76"/>
    <n v="5"/>
    <n v="203.76"/>
    <n v="40"/>
    <d v="2024-08-27T00:00:00"/>
    <s v="10:48:42"/>
    <n v="218"/>
    <n v="6"/>
    <s v="Late"/>
    <n v="178"/>
    <n v="0.08"/>
    <n v="14.24"/>
    <n v="54.24"/>
  </r>
  <r>
    <s v="CID158"/>
    <s v="Angela"/>
    <s v="Evans"/>
    <x v="52"/>
    <n v="52"/>
    <x v="2"/>
    <x v="1"/>
    <s v="angela.evans@outlook.com"/>
    <s v="16031 David Mountain Suite 431, Susanborough, PA 01910"/>
    <s v="OID6847"/>
    <d v="2024-07-28T00:00:00"/>
    <x v="6"/>
    <s v="17:02:09"/>
    <x v="46"/>
    <n v="44.5"/>
    <n v="4"/>
    <n v="178"/>
    <x v="4"/>
    <n v="0"/>
    <n v="178"/>
    <n v="3"/>
    <n v="223"/>
    <n v="45"/>
    <d v="2024-07-31T00:00:00"/>
    <s v="05:55:32"/>
    <n v="223"/>
    <n v="3"/>
    <s v="Intime"/>
    <n v="178"/>
    <n v="0"/>
    <n v="0"/>
    <n v="0"/>
  </r>
  <r>
    <s v="CID117"/>
    <s v="Hannah"/>
    <s v="Gutierrez"/>
    <x v="38"/>
    <n v="55"/>
    <x v="0"/>
    <x v="5"/>
    <s v="hannah.gutierrez@yahoo.com"/>
    <s v="2420 David Manors, Jessicaland, CT 41698"/>
    <s v="OID1669"/>
    <d v="2023-02-25T00:00:00"/>
    <x v="10"/>
    <s v="04:59:13"/>
    <x v="42"/>
    <n v="87.09"/>
    <n v="2"/>
    <n v="174.18"/>
    <x v="3"/>
    <n v="26.126999999999999"/>
    <n v="148.053"/>
    <n v="3"/>
    <n v="210.053"/>
    <n v="62"/>
    <d v="2023-03-02T00:00:00"/>
    <s v="16:22:11"/>
    <n v="236.18"/>
    <n v="5"/>
    <s v="Late"/>
    <n v="174.18"/>
    <n v="0.15"/>
    <n v="26.126999999999999"/>
    <n v="88.126999999999995"/>
  </r>
  <r>
    <s v="CID192"/>
    <s v="Brandon"/>
    <s v="Cruz"/>
    <x v="57"/>
    <n v="32"/>
    <x v="2"/>
    <x v="6"/>
    <s v="brandon.cruz@gmail.com"/>
    <s v="9296 Villanueva Branch, East Kevin, CO 93912"/>
    <s v="OID6854"/>
    <d v="2023-03-21T00:00:00"/>
    <x v="5"/>
    <s v="10:05:03"/>
    <x v="42"/>
    <n v="87.09"/>
    <n v="2"/>
    <n v="174.18"/>
    <x v="4"/>
    <n v="0"/>
    <n v="174.18"/>
    <n v="4"/>
    <n v="241.18"/>
    <n v="67"/>
    <d v="2023-03-25T00:00:00"/>
    <s v="10:06:44"/>
    <n v="241.18"/>
    <n v="4"/>
    <s v="Intime"/>
    <n v="174.18"/>
    <n v="0"/>
    <n v="0"/>
    <n v="0"/>
  </r>
  <r>
    <s v="CID181"/>
    <s v="Alexandra"/>
    <s v="Smith"/>
    <x v="4"/>
    <n v="70"/>
    <x v="1"/>
    <x v="0"/>
    <s v="alexandra.smith@rediffmail.com"/>
    <s v="48611 Clark Village, West Anne, GA 92865"/>
    <s v="OID2842"/>
    <d v="2024-11-26T00:00:00"/>
    <x v="2"/>
    <s v="15:52:52"/>
    <x v="47"/>
    <n v="33.49"/>
    <n v="5"/>
    <n v="167.45000000000002"/>
    <x v="0"/>
    <n v="33.49"/>
    <n v="133.96"/>
    <n v="5"/>
    <n v="197.96"/>
    <n v="64"/>
    <d v="2024-12-02T00:00:00"/>
    <s v="22:30:31"/>
    <n v="231.45000000000002"/>
    <n v="6"/>
    <s v="Late"/>
    <n v="167.45000000000002"/>
    <n v="0.2"/>
    <n v="33.49"/>
    <n v="97.490000000000009"/>
  </r>
  <r>
    <s v="CID185"/>
    <s v="Melissa"/>
    <s v="Levy"/>
    <x v="94"/>
    <n v="30"/>
    <x v="1"/>
    <x v="5"/>
    <s v="melissa.levy@rediffmail.com"/>
    <s v="3303 Kennedy Springs Suite 830, East Amybury, MI 95595"/>
    <s v="OID3981"/>
    <d v="2024-10-22T00:00:00"/>
    <x v="11"/>
    <s v="12:04:15"/>
    <x v="47"/>
    <n v="33.49"/>
    <n v="5"/>
    <n v="167.45000000000002"/>
    <x v="0"/>
    <n v="33.49"/>
    <n v="133.96"/>
    <n v="2"/>
    <n v="191.96"/>
    <n v="58"/>
    <d v="2024-10-24T00:00:00"/>
    <s v="05:18:08"/>
    <n v="225.45000000000002"/>
    <n v="2"/>
    <s v="Intime"/>
    <n v="167.45000000000002"/>
    <n v="0.2"/>
    <n v="33.49"/>
    <n v="91.490000000000009"/>
  </r>
  <r>
    <s v="CID149"/>
    <s v="Angela"/>
    <s v="Horne"/>
    <x v="65"/>
    <n v="49"/>
    <x v="2"/>
    <x v="0"/>
    <s v="angela.horne@outlook.com"/>
    <s v="USNV Mueller, FPO AP 54648"/>
    <s v="OID2793"/>
    <d v="2024-04-09T00:00:00"/>
    <x v="0"/>
    <s v="03:23:21"/>
    <x v="34"/>
    <n v="166.28"/>
    <n v="1"/>
    <n v="166.28"/>
    <x v="1"/>
    <n v="13.3024"/>
    <n v="152.9776"/>
    <n v="2"/>
    <n v="206.9776"/>
    <n v="54"/>
    <d v="2024-04-13T00:00:00"/>
    <s v="22:10:58"/>
    <n v="220.28"/>
    <n v="4"/>
    <s v="Late"/>
    <n v="166.28"/>
    <n v="0.08"/>
    <n v="13.3024"/>
    <n v="67.302400000000006"/>
  </r>
  <r>
    <s v="CID140"/>
    <s v="Beth"/>
    <s v="Mason"/>
    <x v="62"/>
    <n v="45"/>
    <x v="2"/>
    <x v="6"/>
    <s v="beth.mason@outlook.com"/>
    <s v="58998 Sherry Haven, East Richard, FL 90775"/>
    <s v="OID2005"/>
    <d v="2024-02-05T00:00:00"/>
    <x v="10"/>
    <s v="12:10:00"/>
    <x v="34"/>
    <n v="166.28"/>
    <n v="1"/>
    <n v="166.28"/>
    <x v="4"/>
    <n v="0"/>
    <n v="166.28"/>
    <n v="2"/>
    <n v="204.28"/>
    <n v="38"/>
    <d v="2024-02-06T00:00:00"/>
    <s v="09:31:36"/>
    <n v="204.28"/>
    <n v="1"/>
    <s v="BeforeTime"/>
    <n v="166.28"/>
    <n v="0"/>
    <n v="0"/>
    <n v="0"/>
  </r>
  <r>
    <s v="CID134"/>
    <s v="Debra"/>
    <s v="Hayes"/>
    <x v="46"/>
    <n v="33"/>
    <x v="1"/>
    <x v="2"/>
    <s v="debra.hayes@yahoo.com"/>
    <s v="4601 Miller Lock, Williamsbury, IA 10943"/>
    <s v="OID3834"/>
    <d v="2023-05-14T00:00:00"/>
    <x v="1"/>
    <s v="22:42:39"/>
    <x v="31"/>
    <n v="157.63999999999999"/>
    <n v="1"/>
    <n v="157.63999999999999"/>
    <x v="2"/>
    <n v="15.763999999999999"/>
    <n v="141.87599999999998"/>
    <n v="7"/>
    <n v="189.87599999999998"/>
    <n v="48"/>
    <d v="2023-05-21T00:00:00"/>
    <s v="23:12:16"/>
    <n v="205.64"/>
    <n v="7"/>
    <s v="Intime"/>
    <n v="157.63999999999999"/>
    <n v="0.1"/>
    <n v="15.763999999999999"/>
    <n v="63.763999999999996"/>
  </r>
  <r>
    <s v="CID165"/>
    <s v="Mary"/>
    <s v="Knight"/>
    <x v="6"/>
    <n v="28"/>
    <x v="2"/>
    <x v="4"/>
    <s v="mary.knight@yahoo.com"/>
    <s v="907 Kimberly Hill, Murrayfort, NH 88384"/>
    <s v="OID7417"/>
    <d v="2024-02-28T00:00:00"/>
    <x v="10"/>
    <s v="08:47:14"/>
    <x v="31"/>
    <n v="157.63999999999999"/>
    <n v="1"/>
    <n v="157.63999999999999"/>
    <x v="0"/>
    <n v="31.527999999999999"/>
    <n v="126.11199999999999"/>
    <n v="1"/>
    <n v="185.11199999999999"/>
    <n v="59"/>
    <d v="2024-03-05T00:00:00"/>
    <s v="19:25:43"/>
    <n v="216.64"/>
    <n v="6"/>
    <s v="Late"/>
    <n v="157.63999999999999"/>
    <n v="0.2"/>
    <n v="31.527999999999999"/>
    <n v="90.527999999999992"/>
  </r>
  <r>
    <s v="CID132"/>
    <s v="Timothy"/>
    <s v="Hicks"/>
    <x v="78"/>
    <n v="31"/>
    <x v="2"/>
    <x v="7"/>
    <s v="timothy.hicks@gmail.com"/>
    <s v="140 Tracy Fields, Lake Cynthiaton, TX 57190"/>
    <s v="OID2595"/>
    <d v="2024-08-21T00:00:00"/>
    <x v="3"/>
    <s v="03:10:32"/>
    <x v="31"/>
    <n v="157.63999999999999"/>
    <n v="1"/>
    <n v="157.63999999999999"/>
    <x v="0"/>
    <n v="31.527999999999999"/>
    <n v="126.11199999999999"/>
    <n v="7"/>
    <n v="172.11199999999999"/>
    <n v="46"/>
    <d v="2024-08-23T00:00:00"/>
    <s v="11:44:11"/>
    <n v="203.64"/>
    <n v="2"/>
    <s v="BeforeTime"/>
    <n v="157.63999999999999"/>
    <n v="0.2"/>
    <n v="31.527999999999999"/>
    <n v="77.527999999999992"/>
  </r>
  <r>
    <s v="CID103"/>
    <s v="Jason"/>
    <s v="Nguyen"/>
    <x v="24"/>
    <n v="51"/>
    <x v="2"/>
    <x v="7"/>
    <s v="jason.nguyen@yahoo.com"/>
    <s v="7112 Travis Glens Suite 790, Crystalland, WV 38373"/>
    <s v="OID6297"/>
    <d v="2024-02-13T00:00:00"/>
    <x v="10"/>
    <s v="12:09:51"/>
    <x v="43"/>
    <n v="77.84"/>
    <n v="2"/>
    <n v="155.68"/>
    <x v="1"/>
    <n v="12.454400000000001"/>
    <n v="143.22560000000001"/>
    <n v="6"/>
    <n v="179.22560000000001"/>
    <n v="36"/>
    <d v="2024-02-19T00:00:00"/>
    <s v="05:11:05"/>
    <n v="191.68"/>
    <n v="6"/>
    <s v="Intime"/>
    <n v="155.68"/>
    <n v="0.08"/>
    <n v="12.454400000000001"/>
    <n v="48.4544"/>
  </r>
  <r>
    <s v="CID164"/>
    <s v="Lauren"/>
    <s v="Lane"/>
    <x v="32"/>
    <n v="30"/>
    <x v="1"/>
    <x v="3"/>
    <s v="lauren.lane@gmail.com"/>
    <s v="56985 Sergio Extensions, Port Albert, CO 02898"/>
    <s v="OID4840"/>
    <d v="2024-05-08T00:00:00"/>
    <x v="1"/>
    <s v="12:38:37"/>
    <x v="45"/>
    <n v="48.45"/>
    <n v="3"/>
    <n v="145.35000000000002"/>
    <x v="2"/>
    <n v="14.535000000000004"/>
    <n v="130.81500000000003"/>
    <n v="2"/>
    <n v="193.81500000000003"/>
    <n v="63"/>
    <d v="2024-05-10T00:00:00"/>
    <s v="19:14:57"/>
    <n v="208.35000000000002"/>
    <n v="2"/>
    <s v="Intime"/>
    <n v="145.35000000000002"/>
    <n v="0.1"/>
    <n v="14.535000000000004"/>
    <n v="77.534999999999997"/>
  </r>
  <r>
    <s v="CID162"/>
    <s v="Mark"/>
    <s v="Summers"/>
    <x v="7"/>
    <n v="55"/>
    <x v="0"/>
    <x v="5"/>
    <s v="mark.summers@outlook.com"/>
    <s v="08413 Lynch Parkway, Calderonstad, NV 32697"/>
    <s v="OID4932"/>
    <d v="2023-04-29T00:00:00"/>
    <x v="0"/>
    <s v="06:50:14"/>
    <x v="45"/>
    <n v="48.45"/>
    <n v="3"/>
    <n v="145.35000000000002"/>
    <x v="4"/>
    <n v="0"/>
    <n v="145.35000000000002"/>
    <n v="6"/>
    <n v="203.35000000000002"/>
    <n v="58"/>
    <d v="2023-04-30T00:00:00"/>
    <s v="13:55:34"/>
    <n v="203.35000000000002"/>
    <n v="1"/>
    <s v="BeforeTime"/>
    <n v="145.35000000000002"/>
    <n v="0"/>
    <n v="0"/>
    <n v="0"/>
  </r>
  <r>
    <s v="CID114"/>
    <s v="Lauren"/>
    <s v="Crane"/>
    <x v="3"/>
    <n v="62"/>
    <x v="0"/>
    <x v="1"/>
    <s v="lauren.crane@yahoo.com"/>
    <s v="30313 Reyes Parkways Suite 392, Port Bradley, SC 24078"/>
    <s v="OID1592"/>
    <d v="2024-02-18T00:00:00"/>
    <x v="10"/>
    <s v="01:25:50"/>
    <x v="45"/>
    <n v="48.45"/>
    <n v="3"/>
    <n v="145.35000000000002"/>
    <x v="3"/>
    <n v="21.802500000000002"/>
    <n v="123.54750000000001"/>
    <n v="5"/>
    <n v="165.54750000000001"/>
    <n v="42"/>
    <d v="2024-02-25T00:00:00"/>
    <s v="18:04:09"/>
    <n v="187.35000000000002"/>
    <n v="7"/>
    <s v="Late"/>
    <n v="145.35000000000002"/>
    <n v="0.15"/>
    <n v="21.802500000000002"/>
    <n v="63.802500000000002"/>
  </r>
  <r>
    <s v="CID117"/>
    <s v="Hannah"/>
    <s v="Gutierrez"/>
    <x v="38"/>
    <n v="55"/>
    <x v="0"/>
    <x v="5"/>
    <s v="hannah.gutierrez@yahoo.com"/>
    <s v="2420 David Manors, Jessicaland, CT 41698"/>
    <s v="OID3128"/>
    <d v="2024-03-05T00:00:00"/>
    <x v="5"/>
    <s v="22:17:42"/>
    <x v="45"/>
    <n v="48.45"/>
    <n v="3"/>
    <n v="145.35000000000002"/>
    <x v="0"/>
    <n v="29.070000000000007"/>
    <n v="116.28000000000002"/>
    <n v="6"/>
    <n v="159.28000000000003"/>
    <n v="43"/>
    <d v="2024-03-07T00:00:00"/>
    <s v="09:42:50"/>
    <n v="188.35000000000002"/>
    <n v="2"/>
    <s v="BeforeTime"/>
    <n v="145.35000000000002"/>
    <n v="0.2"/>
    <n v="29.070000000000007"/>
    <n v="72.070000000000007"/>
  </r>
  <r>
    <s v="CID187"/>
    <s v="Jason"/>
    <s v="Lopez"/>
    <x v="14"/>
    <n v="40"/>
    <x v="2"/>
    <x v="2"/>
    <s v="jason.lopez@outlook.com"/>
    <s v="934 Levine View, Brentport, NE 38210"/>
    <s v="OID5108"/>
    <d v="2023-09-17T00:00:00"/>
    <x v="9"/>
    <s v="10:51:20"/>
    <x v="32"/>
    <n v="136.30000000000001"/>
    <n v="1"/>
    <n v="136.30000000000001"/>
    <x v="0"/>
    <n v="27.260000000000005"/>
    <n v="109.04"/>
    <n v="4"/>
    <n v="150.04000000000002"/>
    <n v="41"/>
    <d v="2023-09-20T00:00:00"/>
    <s v="23:53:27"/>
    <n v="177.3"/>
    <n v="3"/>
    <s v="BeforeTime"/>
    <n v="136.30000000000001"/>
    <n v="0.2"/>
    <n v="27.260000000000005"/>
    <n v="68.260000000000005"/>
  </r>
  <r>
    <s v="CID194"/>
    <s v="Barbara"/>
    <s v="Fuller"/>
    <x v="12"/>
    <n v="43"/>
    <x v="2"/>
    <x v="5"/>
    <s v="barbara.fuller@rediffmail.com"/>
    <s v="134 Mcintosh Unions Suite 574, Lake Laura, DE 96577"/>
    <s v="OID8380"/>
    <d v="2023-12-31T00:00:00"/>
    <x v="7"/>
    <s v="10:35:10"/>
    <x v="32"/>
    <n v="136.30000000000001"/>
    <n v="1"/>
    <n v="136.30000000000001"/>
    <x v="3"/>
    <n v="20.445"/>
    <n v="115.85500000000002"/>
    <n v="1"/>
    <n v="179.85500000000002"/>
    <n v="64"/>
    <d v="2024-01-05T00:00:00"/>
    <s v="00:12:03"/>
    <n v="200.3"/>
    <n v="5"/>
    <s v="Late"/>
    <n v="136.30000000000001"/>
    <n v="0.15"/>
    <n v="20.445"/>
    <n v="84.444999999999993"/>
  </r>
  <r>
    <s v="CID140"/>
    <s v="Beth"/>
    <s v="Mason"/>
    <x v="62"/>
    <n v="45"/>
    <x v="2"/>
    <x v="6"/>
    <s v="beth.mason@outlook.com"/>
    <s v="58998 Sherry Haven, East Richard, FL 90775"/>
    <s v="OID6634"/>
    <d v="2023-03-02T00:00:00"/>
    <x v="5"/>
    <s v="02:36:45"/>
    <x v="32"/>
    <n v="136.30000000000001"/>
    <n v="1"/>
    <n v="136.30000000000001"/>
    <x v="1"/>
    <n v="10.904000000000002"/>
    <n v="125.39600000000002"/>
    <n v="4"/>
    <n v="166.39600000000002"/>
    <n v="41"/>
    <d v="2023-03-03T00:00:00"/>
    <s v="14:57:01"/>
    <n v="177.3"/>
    <n v="1"/>
    <s v="BeforeTime"/>
    <n v="136.30000000000001"/>
    <n v="0.08"/>
    <n v="10.904000000000002"/>
    <n v="51.904000000000003"/>
  </r>
  <r>
    <s v="CID113"/>
    <s v="Brendan"/>
    <s v="Kelly"/>
    <x v="23"/>
    <n v="50"/>
    <x v="2"/>
    <x v="2"/>
    <s v="brendan.kelly@rediffmail.com"/>
    <s v="688 Donald Oval Suite 089, Shepardport, CA 50844"/>
    <s v="OID5229"/>
    <d v="2023-12-29T00:00:00"/>
    <x v="7"/>
    <s v="08:36:31"/>
    <x v="47"/>
    <n v="33.49"/>
    <n v="4"/>
    <n v="133.96"/>
    <x v="3"/>
    <n v="20.094000000000001"/>
    <n v="113.86600000000001"/>
    <n v="4"/>
    <n v="180.86600000000001"/>
    <n v="67"/>
    <d v="2024-01-03T00:00:00"/>
    <s v="19:33:15"/>
    <n v="200.96"/>
    <n v="5"/>
    <s v="Late"/>
    <n v="133.96"/>
    <n v="0.15"/>
    <n v="20.094000000000001"/>
    <n v="87.093999999999994"/>
  </r>
  <r>
    <s v="CID145"/>
    <s v="Ashley"/>
    <s v="Romero"/>
    <x v="88"/>
    <n v="35"/>
    <x v="1"/>
    <x v="0"/>
    <s v="ashley.romero@yahoo.com"/>
    <s v="547 Kerry Expressway, Lake Amanda, AR 20321"/>
    <s v="OID3491"/>
    <d v="2023-03-22T00:00:00"/>
    <x v="5"/>
    <s v="18:04:56"/>
    <x v="47"/>
    <n v="33.49"/>
    <n v="4"/>
    <n v="133.96"/>
    <x v="0"/>
    <n v="26.792000000000002"/>
    <n v="107.16800000000001"/>
    <n v="7"/>
    <n v="161.16800000000001"/>
    <n v="54"/>
    <d v="2023-03-23T00:00:00"/>
    <s v="06:42:40"/>
    <n v="187.96"/>
    <n v="1"/>
    <s v="BeforeTime"/>
    <n v="133.96"/>
    <n v="0.2"/>
    <n v="26.792000000000002"/>
    <n v="80.792000000000002"/>
  </r>
  <r>
    <s v="CID142"/>
    <s v="Thomas"/>
    <s v="Owens"/>
    <x v="96"/>
    <n v="34"/>
    <x v="2"/>
    <x v="3"/>
    <s v="thomas.owens@outlook.com"/>
    <s v="43920 Shaffer Valley Suite 531, South Jerry, MD 67120"/>
    <s v="OID6097"/>
    <d v="2024-10-30T00:00:00"/>
    <x v="11"/>
    <s v="06:46:28"/>
    <x v="33"/>
    <n v="133.62"/>
    <n v="1"/>
    <n v="133.62"/>
    <x v="1"/>
    <n v="10.6896"/>
    <n v="122.93040000000001"/>
    <n v="1"/>
    <n v="179.93040000000002"/>
    <n v="57"/>
    <d v="2024-11-06T00:00:00"/>
    <s v="11:47:41"/>
    <n v="190.62"/>
    <n v="7"/>
    <s v="Late"/>
    <n v="133.62"/>
    <n v="0.08"/>
    <n v="10.6896"/>
    <n v="67.689599999999999"/>
  </r>
  <r>
    <s v="CID140"/>
    <s v="Beth"/>
    <s v="Mason"/>
    <x v="62"/>
    <n v="45"/>
    <x v="2"/>
    <x v="6"/>
    <s v="beth.mason@outlook.com"/>
    <s v="58998 Sherry Haven, East Richard, FL 90775"/>
    <s v="OID1420"/>
    <d v="2024-06-03T00:00:00"/>
    <x v="8"/>
    <s v="18:45:41"/>
    <x v="33"/>
    <n v="133.62"/>
    <n v="1"/>
    <n v="133.62"/>
    <x v="3"/>
    <n v="20.042999999999999"/>
    <n v="113.577"/>
    <n v="5"/>
    <n v="152.577"/>
    <n v="39"/>
    <d v="2024-06-08T00:00:00"/>
    <s v="21:20:42"/>
    <n v="172.62"/>
    <n v="5"/>
    <s v="Intime"/>
    <n v="133.62"/>
    <n v="0.15"/>
    <n v="20.042999999999999"/>
    <n v="59.042999999999999"/>
  </r>
  <r>
    <s v="CID187"/>
    <s v="Jason"/>
    <s v="Lopez"/>
    <x v="14"/>
    <n v="40"/>
    <x v="2"/>
    <x v="2"/>
    <s v="jason.lopez@outlook.com"/>
    <s v="934 Levine View, Brentport, NE 38210"/>
    <s v="OID8104"/>
    <d v="2023-04-17T00:00:00"/>
    <x v="0"/>
    <s v="21:07:18"/>
    <x v="33"/>
    <n v="133.62"/>
    <n v="1"/>
    <n v="133.62"/>
    <x v="3"/>
    <n v="20.042999999999999"/>
    <n v="113.577"/>
    <n v="5"/>
    <n v="179.577"/>
    <n v="66"/>
    <d v="2023-04-21T00:00:00"/>
    <s v="00:38:35"/>
    <n v="199.62"/>
    <n v="4"/>
    <s v="BeforeTime"/>
    <n v="133.62"/>
    <n v="0.15"/>
    <n v="20.042999999999999"/>
    <n v="86.043000000000006"/>
  </r>
  <r>
    <s v="CID108"/>
    <s v="Teresa"/>
    <s v="Harvey"/>
    <x v="70"/>
    <n v="64"/>
    <x v="2"/>
    <x v="0"/>
    <s v="teresa.harvey@gmail.com"/>
    <s v="02669 Kirk Squares, Davisville, VA 51272"/>
    <s v="OID9808"/>
    <d v="2023-03-04T00:00:00"/>
    <x v="5"/>
    <s v="13:02:42"/>
    <x v="46"/>
    <n v="44.5"/>
    <n v="3"/>
    <n v="133.5"/>
    <x v="1"/>
    <n v="10.68"/>
    <n v="122.82"/>
    <n v="6"/>
    <n v="168.82"/>
    <n v="46"/>
    <d v="2023-03-06T00:00:00"/>
    <s v="06:40:28"/>
    <n v="179.5"/>
    <n v="2"/>
    <s v="BeforeTime"/>
    <n v="133.5"/>
    <n v="0.08"/>
    <n v="10.68"/>
    <n v="56.68"/>
  </r>
  <r>
    <s v="CID149"/>
    <s v="Angela"/>
    <s v="Horne"/>
    <x v="65"/>
    <n v="49"/>
    <x v="2"/>
    <x v="0"/>
    <s v="angela.horne@outlook.com"/>
    <s v="USNV Mueller, FPO AP 54648"/>
    <s v="OID2044"/>
    <d v="2024-03-26T00:00:00"/>
    <x v="5"/>
    <s v="22:16:48"/>
    <x v="46"/>
    <n v="44.5"/>
    <n v="3"/>
    <n v="133.5"/>
    <x v="0"/>
    <n v="26.700000000000003"/>
    <n v="106.8"/>
    <n v="7"/>
    <n v="146.80000000000001"/>
    <n v="40"/>
    <d v="2024-03-31T00:00:00"/>
    <s v="16:09:18"/>
    <n v="173.5"/>
    <n v="5"/>
    <s v="BeforeTime"/>
    <n v="133.5"/>
    <n v="0.2"/>
    <n v="26.700000000000003"/>
    <n v="66.7"/>
  </r>
  <r>
    <s v="CID182"/>
    <s v="John"/>
    <s v="Herrera"/>
    <x v="22"/>
    <n v="64"/>
    <x v="0"/>
    <x v="1"/>
    <s v="john.herrera@outlook.com"/>
    <s v="61263 Jacob Isle, Amandatown, TN 34321"/>
    <s v="OID4032"/>
    <d v="2023-09-25T00:00:00"/>
    <x v="9"/>
    <s v="08:09:52"/>
    <x v="35"/>
    <n v="132.97"/>
    <n v="1"/>
    <n v="132.97"/>
    <x v="3"/>
    <n v="19.945499999999999"/>
    <n v="113.0245"/>
    <n v="4"/>
    <n v="168.02449999999999"/>
    <n v="55"/>
    <d v="2023-09-29T00:00:00"/>
    <s v="00:57:21"/>
    <n v="187.97"/>
    <n v="4"/>
    <s v="Intime"/>
    <n v="132.97"/>
    <n v="0.15"/>
    <n v="19.945499999999999"/>
    <n v="74.945499999999996"/>
  </r>
  <r>
    <s v="CID191"/>
    <s v="Lauren"/>
    <s v="Long"/>
    <x v="5"/>
    <n v="44"/>
    <x v="1"/>
    <x v="3"/>
    <s v="lauren.long@gmail.com"/>
    <s v="258 Michael Brooks Suite 363, Arnoldview, PA 49438"/>
    <s v="OID4558"/>
    <d v="2024-04-07T00:00:00"/>
    <x v="0"/>
    <s v="21:19:14"/>
    <x v="35"/>
    <n v="132.97"/>
    <n v="1"/>
    <n v="132.97"/>
    <x v="4"/>
    <n v="0"/>
    <n v="132.97"/>
    <n v="6"/>
    <n v="189.97"/>
    <n v="57"/>
    <d v="2024-04-14T00:00:00"/>
    <s v="17:27:57"/>
    <n v="189.97"/>
    <n v="7"/>
    <s v="Late"/>
    <n v="132.97"/>
    <n v="0"/>
    <n v="0"/>
    <n v="0"/>
  </r>
  <r>
    <s v="CID196"/>
    <s v="Regina"/>
    <s v="Hawkins"/>
    <x v="61"/>
    <n v="47"/>
    <x v="0"/>
    <x v="0"/>
    <s v="regina.hawkins@rediffmail.com"/>
    <s v="096 Santos Neck Apt. 937, Benjaminmouth, FL 61454"/>
    <s v="OID6775"/>
    <d v="2023-09-14T00:00:00"/>
    <x v="9"/>
    <s v="06:54:03"/>
    <x v="35"/>
    <n v="132.97"/>
    <n v="1"/>
    <n v="132.97"/>
    <x v="3"/>
    <n v="19.945499999999999"/>
    <n v="113.0245"/>
    <n v="6"/>
    <n v="150.02449999999999"/>
    <n v="37"/>
    <d v="2023-09-21T00:00:00"/>
    <s v="01:13:09"/>
    <n v="169.97"/>
    <n v="7"/>
    <s v="Late"/>
    <n v="132.97"/>
    <n v="0.15"/>
    <n v="19.945499999999999"/>
    <n v="56.945499999999996"/>
  </r>
  <r>
    <s v="CID190"/>
    <s v="Valerie"/>
    <s v="Carr"/>
    <x v="10"/>
    <n v="26"/>
    <x v="2"/>
    <x v="2"/>
    <s v="valerie.carr@rediffmail.com"/>
    <s v="981 Emily Stream, South Brianna, CO 98063"/>
    <s v="OID2701"/>
    <d v="2023-08-30T00:00:00"/>
    <x v="3"/>
    <s v="14:37:48"/>
    <x v="36"/>
    <n v="129.75"/>
    <n v="1"/>
    <n v="129.75"/>
    <x v="2"/>
    <n v="12.975000000000001"/>
    <n v="116.77500000000001"/>
    <n v="5"/>
    <n v="186.77500000000001"/>
    <n v="70"/>
    <d v="2023-09-03T00:00:00"/>
    <s v="09:09:46"/>
    <n v="199.75"/>
    <n v="4"/>
    <s v="BeforeTime"/>
    <n v="129.75"/>
    <n v="0.1"/>
    <n v="12.975000000000001"/>
    <n v="82.974999999999994"/>
  </r>
  <r>
    <s v="CID169"/>
    <s v="Robert"/>
    <s v="Castillo"/>
    <x v="83"/>
    <n v="32"/>
    <x v="0"/>
    <x v="2"/>
    <s v="robert.castillo@gmail.com"/>
    <s v="7143 Brandon Skyway Suite 899, Tylerton, IA 21756"/>
    <s v="OID3319"/>
    <d v="2023-04-04T00:00:00"/>
    <x v="0"/>
    <s v="01:59:03"/>
    <x v="36"/>
    <n v="129.75"/>
    <n v="1"/>
    <n v="129.75"/>
    <x v="2"/>
    <n v="12.975000000000001"/>
    <n v="116.77500000000001"/>
    <n v="6"/>
    <n v="159.77500000000001"/>
    <n v="43"/>
    <d v="2023-04-10T00:00:00"/>
    <s v="12:37:05"/>
    <n v="172.75"/>
    <n v="6"/>
    <s v="Intime"/>
    <n v="129.75"/>
    <n v="0.1"/>
    <n v="12.975000000000001"/>
    <n v="55.975000000000001"/>
  </r>
  <r>
    <s v="CID191"/>
    <s v="Lauren"/>
    <s v="Long"/>
    <x v="5"/>
    <n v="44"/>
    <x v="1"/>
    <x v="3"/>
    <s v="lauren.long@gmail.com"/>
    <s v="258 Michael Brooks Suite 363, Arnoldview, PA 49438"/>
    <s v="OID7258"/>
    <d v="2024-10-19T00:00:00"/>
    <x v="11"/>
    <s v="20:25:23"/>
    <x v="36"/>
    <n v="129.75"/>
    <n v="1"/>
    <n v="129.75"/>
    <x v="4"/>
    <n v="0"/>
    <n v="129.75"/>
    <n v="7"/>
    <n v="173.75"/>
    <n v="44"/>
    <d v="2024-10-26T00:00:00"/>
    <s v="11:54:10"/>
    <n v="173.75"/>
    <n v="7"/>
    <s v="Intime"/>
    <n v="129.75"/>
    <n v="0"/>
    <n v="0"/>
    <n v="0"/>
  </r>
  <r>
    <s v="CID169"/>
    <s v="Robert"/>
    <s v="Castillo"/>
    <x v="83"/>
    <n v="32"/>
    <x v="0"/>
    <x v="2"/>
    <s v="robert.castillo@gmail.com"/>
    <s v="7143 Brandon Skyway Suite 899, Tylerton, IA 21756"/>
    <s v="OID3302"/>
    <d v="2023-10-18T00:00:00"/>
    <x v="11"/>
    <s v="08:32:59"/>
    <x v="36"/>
    <n v="129.75"/>
    <n v="1"/>
    <n v="129.75"/>
    <x v="1"/>
    <n v="10.38"/>
    <n v="119.37"/>
    <n v="7"/>
    <n v="175.37"/>
    <n v="56"/>
    <d v="2023-10-20T00:00:00"/>
    <s v="03:32:40"/>
    <n v="185.75"/>
    <n v="2"/>
    <s v="BeforeTime"/>
    <n v="129.75"/>
    <n v="0.08"/>
    <n v="10.38"/>
    <n v="66.38"/>
  </r>
  <r>
    <s v="CID150"/>
    <s v="Anthony"/>
    <s v="Thomas"/>
    <x v="76"/>
    <n v="53"/>
    <x v="0"/>
    <x v="1"/>
    <s v="anthony.thomas@rediffmail.com"/>
    <s v="931 Christopher Ways Suite 833, North Michelle, IN 53484"/>
    <s v="OID1520"/>
    <d v="2023-04-25T00:00:00"/>
    <x v="0"/>
    <s v="04:27:04"/>
    <x v="37"/>
    <n v="128.13999999999999"/>
    <n v="1"/>
    <n v="128.13999999999999"/>
    <x v="1"/>
    <n v="10.251199999999999"/>
    <n v="117.88879999999999"/>
    <n v="7"/>
    <n v="187.8888"/>
    <n v="70"/>
    <d v="2023-04-29T00:00:00"/>
    <s v="07:38:34"/>
    <n v="198.14"/>
    <n v="4"/>
    <s v="BeforeTime"/>
    <n v="128.13999999999999"/>
    <n v="0.08"/>
    <n v="10.251199999999999"/>
    <n v="80.251199999999997"/>
  </r>
  <r>
    <s v="CID138"/>
    <s v="Mike"/>
    <s v="Carter"/>
    <x v="74"/>
    <n v="59"/>
    <x v="2"/>
    <x v="2"/>
    <s v="mike.carter@rediffmail.com"/>
    <s v="3971 Ortiz Fields, Lake Jackfort, IA 97132"/>
    <s v="OID6541"/>
    <d v="2023-11-21T00:00:00"/>
    <x v="2"/>
    <s v="08:35:05"/>
    <x v="37"/>
    <n v="128.13999999999999"/>
    <n v="1"/>
    <n v="128.13999999999999"/>
    <x v="2"/>
    <n v="12.814"/>
    <n v="115.32599999999999"/>
    <n v="7"/>
    <n v="167.32599999999999"/>
    <n v="52"/>
    <d v="2023-11-24T00:00:00"/>
    <s v="09:50:44"/>
    <n v="180.14"/>
    <n v="3"/>
    <s v="BeforeTime"/>
    <n v="128.13999999999999"/>
    <n v="0.1"/>
    <n v="12.814"/>
    <n v="64.813999999999993"/>
  </r>
  <r>
    <s v="CID162"/>
    <s v="Mark"/>
    <s v="Summers"/>
    <x v="7"/>
    <n v="55"/>
    <x v="0"/>
    <x v="5"/>
    <s v="mark.summers@outlook.com"/>
    <s v="08413 Lynch Parkway, Calderonstad, NV 32697"/>
    <s v="OID7008"/>
    <d v="2023-02-19T00:00:00"/>
    <x v="10"/>
    <s v="04:12:20"/>
    <x v="37"/>
    <n v="128.13999999999999"/>
    <n v="1"/>
    <n v="128.13999999999999"/>
    <x v="2"/>
    <n v="12.814"/>
    <n v="115.32599999999999"/>
    <n v="1"/>
    <n v="154.32599999999999"/>
    <n v="39"/>
    <d v="2023-02-25T00:00:00"/>
    <s v="01:46:13"/>
    <n v="167.14"/>
    <n v="6"/>
    <s v="Late"/>
    <n v="128.13999999999999"/>
    <n v="0.1"/>
    <n v="12.814"/>
    <n v="51.814"/>
  </r>
  <r>
    <s v="CID132"/>
    <s v="Timothy"/>
    <s v="Hicks"/>
    <x v="78"/>
    <n v="31"/>
    <x v="2"/>
    <x v="7"/>
    <s v="timothy.hicks@gmail.com"/>
    <s v="140 Tracy Fields, Lake Cynthiaton, TX 57190"/>
    <s v="OID1744"/>
    <d v="2024-12-27T00:00:00"/>
    <x v="7"/>
    <s v="01:03:02"/>
    <x v="37"/>
    <n v="128.13999999999999"/>
    <n v="1"/>
    <n v="128.13999999999999"/>
    <x v="4"/>
    <n v="0"/>
    <n v="128.13999999999999"/>
    <n v="3"/>
    <n v="183.14"/>
    <n v="55"/>
    <d v="2024-12-29T00:00:00"/>
    <s v="08:40:48"/>
    <n v="183.14"/>
    <n v="2"/>
    <s v="BeforeTime"/>
    <n v="128.13999999999999"/>
    <n v="0"/>
    <n v="0"/>
    <n v="0"/>
  </r>
  <r>
    <s v="CID148"/>
    <s v="Erin"/>
    <s v="Miller"/>
    <x v="8"/>
    <n v="46"/>
    <x v="1"/>
    <x v="2"/>
    <s v="erin.miller@gmail.com"/>
    <s v="65972 Peterson Route, Port Andrewfurt, SD 32892"/>
    <s v="OID4746"/>
    <d v="2024-10-21T00:00:00"/>
    <x v="11"/>
    <s v="07:44:52"/>
    <x v="38"/>
    <n v="126.19"/>
    <n v="1"/>
    <n v="126.19"/>
    <x v="0"/>
    <n v="25.238"/>
    <n v="100.952"/>
    <n v="5"/>
    <n v="168.952"/>
    <n v="68"/>
    <d v="2024-10-23T00:00:00"/>
    <s v="00:28:50"/>
    <n v="194.19"/>
    <n v="2"/>
    <s v="BeforeTime"/>
    <n v="126.19"/>
    <n v="0.2"/>
    <n v="25.238"/>
    <n v="93.238"/>
  </r>
  <r>
    <s v="CID126"/>
    <s v="Marcus"/>
    <s v="Rogers"/>
    <x v="81"/>
    <n v="36"/>
    <x v="0"/>
    <x v="0"/>
    <s v="marcus.rogers@outlook.com"/>
    <s v="06912 Brown Pine Apt. 763, Teresamouth, HI 24377"/>
    <s v="OID2991"/>
    <d v="2023-08-11T00:00:00"/>
    <x v="3"/>
    <s v="02:09:48"/>
    <x v="44"/>
    <n v="62.42"/>
    <n v="2"/>
    <n v="124.84"/>
    <x v="3"/>
    <n v="18.725999999999999"/>
    <n v="106.114"/>
    <n v="1"/>
    <n v="159.114"/>
    <n v="53"/>
    <d v="2023-08-16T00:00:00"/>
    <s v="03:08:52"/>
    <n v="177.84"/>
    <n v="5"/>
    <s v="Late"/>
    <n v="124.84"/>
    <n v="0.15"/>
    <n v="18.725999999999999"/>
    <n v="71.725999999999999"/>
  </r>
  <r>
    <s v="CID120"/>
    <s v="Jenny"/>
    <s v="Estrada"/>
    <x v="55"/>
    <n v="45"/>
    <x v="1"/>
    <x v="1"/>
    <s v="jenny.estrada@yahoo.com"/>
    <s v="792 Carlos Islands, West David, CT 16522"/>
    <s v="OID9692"/>
    <d v="2023-06-22T00:00:00"/>
    <x v="8"/>
    <s v="13:16:36"/>
    <x v="40"/>
    <n v="107.47"/>
    <n v="1"/>
    <n v="107.47"/>
    <x v="2"/>
    <n v="10.747"/>
    <n v="96.722999999999999"/>
    <n v="5"/>
    <n v="152.72300000000001"/>
    <n v="56"/>
    <d v="2023-06-27T00:00:00"/>
    <s v="23:44:01"/>
    <n v="163.47"/>
    <n v="5"/>
    <s v="Intime"/>
    <n v="107.47"/>
    <n v="0.1"/>
    <n v="10.747"/>
    <n v="66.747"/>
  </r>
  <r>
    <s v="CID122"/>
    <s v="Jared"/>
    <s v="Horn"/>
    <x v="59"/>
    <n v="43"/>
    <x v="1"/>
    <x v="7"/>
    <s v="jared.horn@outlook.com"/>
    <s v="43325 Barbara Tunnel, Port James, LA 16246"/>
    <s v="OID3358"/>
    <d v="2024-05-16T00:00:00"/>
    <x v="1"/>
    <s v="15:38:50"/>
    <x v="40"/>
    <n v="107.47"/>
    <n v="1"/>
    <n v="107.47"/>
    <x v="1"/>
    <n v="8.5975999999999999"/>
    <n v="98.872399999999999"/>
    <n v="4"/>
    <n v="134.8724"/>
    <n v="36"/>
    <d v="2024-05-18T00:00:00"/>
    <s v="12:50:53"/>
    <n v="143.47"/>
    <n v="2"/>
    <s v="BeforeTime"/>
    <n v="107.47"/>
    <n v="0.08"/>
    <n v="8.5975999999999999"/>
    <n v="44.5976"/>
  </r>
  <r>
    <s v="CID113"/>
    <s v="Brendan"/>
    <s v="Kelly"/>
    <x v="23"/>
    <n v="50"/>
    <x v="2"/>
    <x v="2"/>
    <s v="brendan.kelly@rediffmail.com"/>
    <s v="688 Donald Oval Suite 089, Shepardport, CA 50844"/>
    <s v="OID5255"/>
    <d v="2024-11-03T00:00:00"/>
    <x v="2"/>
    <s v="19:52:34"/>
    <x v="41"/>
    <n v="104.18"/>
    <n v="1"/>
    <n v="104.18"/>
    <x v="1"/>
    <n v="8.3344000000000005"/>
    <n v="95.845600000000005"/>
    <n v="1"/>
    <n v="143.84559999999999"/>
    <n v="48"/>
    <d v="2024-11-07T00:00:00"/>
    <s v="07:40:09"/>
    <n v="152.18"/>
    <n v="4"/>
    <s v="Late"/>
    <n v="104.18"/>
    <n v="0.08"/>
    <n v="8.3344000000000005"/>
    <n v="56.334400000000002"/>
  </r>
  <r>
    <s v="CID113"/>
    <s v="Brendan"/>
    <s v="Kelly"/>
    <x v="23"/>
    <n v="50"/>
    <x v="2"/>
    <x v="2"/>
    <s v="brendan.kelly@rediffmail.com"/>
    <s v="688 Donald Oval Suite 089, Shepardport, CA 50844"/>
    <s v="OID8575"/>
    <d v="2024-09-22T00:00:00"/>
    <x v="9"/>
    <s v="09:51:24"/>
    <x v="41"/>
    <n v="104.18"/>
    <n v="1"/>
    <n v="104.18"/>
    <x v="1"/>
    <n v="8.3344000000000005"/>
    <n v="95.845600000000005"/>
    <n v="3"/>
    <n v="155.84559999999999"/>
    <n v="60"/>
    <d v="2024-09-28T00:00:00"/>
    <s v="00:10:27"/>
    <n v="164.18"/>
    <n v="6"/>
    <s v="Late"/>
    <n v="104.18"/>
    <n v="0.08"/>
    <n v="8.3344000000000005"/>
    <n v="68.334400000000002"/>
  </r>
  <r>
    <s v="CID117"/>
    <s v="Hannah"/>
    <s v="Gutierrez"/>
    <x v="38"/>
    <n v="55"/>
    <x v="0"/>
    <x v="5"/>
    <s v="hannah.gutierrez@yahoo.com"/>
    <s v="2420 David Manors, Jessicaland, CT 41698"/>
    <s v="OID9035"/>
    <d v="2023-03-20T00:00:00"/>
    <x v="5"/>
    <s v="15:11:02"/>
    <x v="41"/>
    <n v="104.18"/>
    <n v="1"/>
    <n v="104.18"/>
    <x v="1"/>
    <n v="8.3344000000000005"/>
    <n v="95.845600000000005"/>
    <n v="5"/>
    <n v="132.84559999999999"/>
    <n v="37"/>
    <d v="2023-03-22T00:00:00"/>
    <s v="14:16:59"/>
    <n v="141.18"/>
    <n v="2"/>
    <s v="BeforeTime"/>
    <n v="104.18"/>
    <n v="0.08"/>
    <n v="8.3344000000000005"/>
    <n v="45.334400000000002"/>
  </r>
  <r>
    <s v="CID128"/>
    <s v="Traci"/>
    <s v="Jones"/>
    <x v="95"/>
    <n v="34"/>
    <x v="1"/>
    <x v="6"/>
    <s v="traci.jones@yahoo.com"/>
    <s v="4016 Ryan Passage, Collinsside, PA 88777"/>
    <s v="OID3792"/>
    <d v="2024-09-21T00:00:00"/>
    <x v="9"/>
    <s v="06:34:00"/>
    <x v="48"/>
    <n v="20.7"/>
    <n v="5"/>
    <n v="103.5"/>
    <x v="4"/>
    <n v="0"/>
    <n v="103.5"/>
    <n v="7"/>
    <n v="141.5"/>
    <n v="38"/>
    <d v="2024-09-26T00:00:00"/>
    <s v="14:05:20"/>
    <n v="141.5"/>
    <n v="5"/>
    <s v="BeforeTime"/>
    <n v="103.5"/>
    <n v="0"/>
    <n v="0"/>
    <n v="0"/>
  </r>
  <r>
    <s v="CID149"/>
    <s v="Angela"/>
    <s v="Horne"/>
    <x v="65"/>
    <n v="49"/>
    <x v="2"/>
    <x v="0"/>
    <s v="angela.horne@outlook.com"/>
    <s v="USNV Mueller, FPO AP 54648"/>
    <s v="OID3502"/>
    <d v="2023-11-12T00:00:00"/>
    <x v="2"/>
    <s v="12:35:46"/>
    <x v="48"/>
    <n v="20.7"/>
    <n v="5"/>
    <n v="103.5"/>
    <x v="4"/>
    <n v="0"/>
    <n v="103.5"/>
    <n v="2"/>
    <n v="167.5"/>
    <n v="64"/>
    <d v="2023-11-18T00:00:00"/>
    <s v="00:00:51"/>
    <n v="167.5"/>
    <n v="6"/>
    <s v="Late"/>
    <n v="103.5"/>
    <n v="0"/>
    <n v="0"/>
    <n v="0"/>
  </r>
  <r>
    <s v="CID111"/>
    <s v="Brian"/>
    <s v="Kennedy"/>
    <x v="11"/>
    <n v="69"/>
    <x v="1"/>
    <x v="0"/>
    <s v="brian.kennedy@outlook.com"/>
    <s v="25126 Nancy Fort Suite 568, Alexandrachester, AZ 44823"/>
    <s v="OID5607"/>
    <d v="2023-10-14T00:00:00"/>
    <x v="11"/>
    <s v="16:10:50"/>
    <x v="48"/>
    <n v="20.7"/>
    <n v="5"/>
    <n v="103.5"/>
    <x v="3"/>
    <n v="15.524999999999999"/>
    <n v="87.974999999999994"/>
    <n v="7"/>
    <n v="144.97499999999999"/>
    <n v="57"/>
    <d v="2023-10-19T00:00:00"/>
    <s v="15:21:29"/>
    <n v="160.5"/>
    <n v="5"/>
    <s v="BeforeTime"/>
    <n v="103.5"/>
    <n v="0.15"/>
    <n v="15.524999999999999"/>
    <n v="72.525000000000006"/>
  </r>
  <r>
    <s v="CID195"/>
    <s v="Sarah"/>
    <s v="Butler"/>
    <x v="64"/>
    <n v="64"/>
    <x v="1"/>
    <x v="0"/>
    <s v="sarah.butler@rediffmail.com"/>
    <s v="14131 Edwin Shore Apt. 190, Deniseberg, MD 90905"/>
    <s v="OID6856"/>
    <d v="2023-12-22T00:00:00"/>
    <x v="7"/>
    <s v="14:00:27"/>
    <x v="47"/>
    <n v="33.49"/>
    <n v="3"/>
    <n v="100.47"/>
    <x v="3"/>
    <n v="15.070499999999999"/>
    <n v="85.399500000000003"/>
    <n v="2"/>
    <n v="147.39949999999999"/>
    <n v="62"/>
    <d v="2023-12-24T00:00:00"/>
    <s v="12:31:34"/>
    <n v="162.47"/>
    <n v="2"/>
    <s v="Intime"/>
    <n v="100.47"/>
    <n v="0.15"/>
    <n v="15.070499999999999"/>
    <n v="77.070499999999996"/>
  </r>
  <r>
    <s v="CID143"/>
    <s v="Kim"/>
    <s v="Blevins"/>
    <x v="45"/>
    <n v="65"/>
    <x v="0"/>
    <x v="6"/>
    <s v="kim.blevins@outlook.com"/>
    <s v="089 Rice Shoal Suite 491, Juarezmouth, MI 88715"/>
    <s v="OID7495"/>
    <d v="2023-08-29T00:00:00"/>
    <x v="3"/>
    <s v="21:09:31"/>
    <x v="47"/>
    <n v="33.49"/>
    <n v="3"/>
    <n v="100.47"/>
    <x v="2"/>
    <n v="10.047000000000001"/>
    <n v="90.423000000000002"/>
    <n v="1"/>
    <n v="140.423"/>
    <n v="50"/>
    <d v="2023-09-03T00:00:00"/>
    <s v="06:09:19"/>
    <n v="150.47"/>
    <n v="5"/>
    <s v="Late"/>
    <n v="100.47"/>
    <n v="0.1"/>
    <n v="10.047000000000001"/>
    <n v="60.046999999999997"/>
  </r>
  <r>
    <s v="CID169"/>
    <s v="Robert"/>
    <s v="Castillo"/>
    <x v="83"/>
    <n v="32"/>
    <x v="0"/>
    <x v="2"/>
    <s v="robert.castillo@gmail.com"/>
    <s v="7143 Brandon Skyway Suite 899, Tylerton, IA 21756"/>
    <s v="OID9798"/>
    <d v="2023-09-30T00:00:00"/>
    <x v="9"/>
    <s v="19:28:23"/>
    <x v="49"/>
    <n v="20"/>
    <n v="5"/>
    <n v="100"/>
    <x v="3"/>
    <n v="15"/>
    <n v="85"/>
    <n v="7"/>
    <n v="125"/>
    <n v="40"/>
    <d v="2023-10-04T00:00:00"/>
    <s v="11:32:19"/>
    <n v="140"/>
    <n v="4"/>
    <s v="BeforeTime"/>
    <n v="100"/>
    <n v="0.15"/>
    <n v="15"/>
    <n v="55"/>
  </r>
  <r>
    <s v="CID172"/>
    <s v="Kara"/>
    <s v="Brennan"/>
    <x v="77"/>
    <n v="25"/>
    <x v="2"/>
    <x v="7"/>
    <s v="kara.brennan@outlook.com"/>
    <s v="2174 Thomas Avenue, Maciasborough, NJ 41465"/>
    <s v="OID5402"/>
    <d v="2024-06-14T00:00:00"/>
    <x v="8"/>
    <s v="18:14:45"/>
    <x v="49"/>
    <n v="20"/>
    <n v="5"/>
    <n v="100"/>
    <x v="3"/>
    <n v="15"/>
    <n v="85"/>
    <n v="6"/>
    <n v="121"/>
    <n v="36"/>
    <d v="2024-06-20T00:00:00"/>
    <s v="13:20:38"/>
    <n v="136"/>
    <n v="6"/>
    <s v="Intime"/>
    <n v="100"/>
    <n v="0.15"/>
    <n v="15"/>
    <n v="51"/>
  </r>
  <r>
    <s v="CID119"/>
    <s v="Amy"/>
    <s v="Griffin"/>
    <x v="1"/>
    <n v="29"/>
    <x v="1"/>
    <x v="1"/>
    <s v="amy.griffin@rediffmail.com"/>
    <s v="07350 Aaron Meadow Suite 138, Kiaraberg, AL 79545"/>
    <s v="OID2097"/>
    <d v="2025-01-24T00:00:00"/>
    <x v="4"/>
    <s v="08:19:07"/>
    <x v="45"/>
    <n v="48.45"/>
    <n v="2"/>
    <n v="96.9"/>
    <x v="3"/>
    <n v="14.535"/>
    <n v="82.365000000000009"/>
    <n v="7"/>
    <n v="138.36500000000001"/>
    <n v="56"/>
    <d v="2025-01-30T00:00:00"/>
    <s v="03:55:26"/>
    <n v="152.9"/>
    <n v="6"/>
    <s v="BeforeTime"/>
    <n v="96.9"/>
    <n v="0.15"/>
    <n v="14.535"/>
    <n v="70.534999999999997"/>
  </r>
  <r>
    <s v="CID118"/>
    <s v="Amy"/>
    <s v="Ellis"/>
    <x v="44"/>
    <n v="44"/>
    <x v="2"/>
    <x v="6"/>
    <s v="amy.ellis@gmail.com"/>
    <s v="217 Scott Ville, Christophermouth, NH 83776"/>
    <s v="OID5700"/>
    <d v="2024-09-26T00:00:00"/>
    <x v="9"/>
    <s v="09:39:48"/>
    <x v="46"/>
    <n v="44.5"/>
    <n v="2"/>
    <n v="89"/>
    <x v="3"/>
    <n v="13.35"/>
    <n v="75.650000000000006"/>
    <n v="5"/>
    <n v="127.65"/>
    <n v="52"/>
    <d v="2024-09-28T00:00:00"/>
    <s v="06:37:23"/>
    <n v="141"/>
    <n v="2"/>
    <s v="BeforeTime"/>
    <n v="89"/>
    <n v="0.15"/>
    <n v="13.35"/>
    <n v="65.349999999999994"/>
  </r>
  <r>
    <s v="CID185"/>
    <s v="Melissa"/>
    <s v="Levy"/>
    <x v="94"/>
    <n v="30"/>
    <x v="1"/>
    <x v="5"/>
    <s v="melissa.levy@rediffmail.com"/>
    <s v="3303 Kennedy Springs Suite 830, East Amybury, MI 95595"/>
    <s v="OID8074"/>
    <d v="2024-01-29T00:00:00"/>
    <x v="4"/>
    <s v="20:47:44"/>
    <x v="42"/>
    <n v="87.09"/>
    <n v="1"/>
    <n v="87.09"/>
    <x v="2"/>
    <n v="8.7090000000000014"/>
    <n v="78.381"/>
    <n v="1"/>
    <n v="139.381"/>
    <n v="61"/>
    <d v="2024-01-30T00:00:00"/>
    <s v="00:16:22"/>
    <n v="148.09"/>
    <n v="1"/>
    <s v="Intime"/>
    <n v="87.09"/>
    <n v="0.1"/>
    <n v="8.7090000000000014"/>
    <n v="69.709000000000003"/>
  </r>
  <r>
    <s v="CID137"/>
    <s v="Gina"/>
    <s v="Moreno"/>
    <x v="35"/>
    <n v="36"/>
    <x v="2"/>
    <x v="7"/>
    <s v="gina.moreno@rediffmail.com"/>
    <s v="USS Murray, FPO AP 66559"/>
    <s v="OID9922"/>
    <d v="2023-09-13T00:00:00"/>
    <x v="9"/>
    <s v="12:42:28"/>
    <x v="48"/>
    <n v="20.7"/>
    <n v="4"/>
    <n v="82.8"/>
    <x v="0"/>
    <n v="16.559999999999999"/>
    <n v="66.239999999999995"/>
    <n v="1"/>
    <n v="127.24"/>
    <n v="61"/>
    <d v="2023-09-15T00:00:00"/>
    <s v="16:13:49"/>
    <n v="143.80000000000001"/>
    <n v="2"/>
    <s v="Late"/>
    <n v="82.8"/>
    <n v="0.2"/>
    <n v="16.559999999999999"/>
    <n v="77.56"/>
  </r>
  <r>
    <s v="CID177"/>
    <s v="Rachel"/>
    <s v="Lopez"/>
    <x v="98"/>
    <n v="57"/>
    <x v="0"/>
    <x v="6"/>
    <s v="rachel.lopez@outlook.com"/>
    <s v="90435 Bonnie Points Suite 886, Jenniferfurt, WV 20187"/>
    <s v="OID3637"/>
    <d v="2024-02-11T00:00:00"/>
    <x v="10"/>
    <s v="18:27:35"/>
    <x v="49"/>
    <n v="20"/>
    <n v="4"/>
    <n v="80"/>
    <x v="0"/>
    <n v="16"/>
    <n v="64"/>
    <n v="1"/>
    <n v="115"/>
    <n v="51"/>
    <d v="2024-02-12T00:00:00"/>
    <s v="15:09:01"/>
    <n v="131"/>
    <n v="1"/>
    <s v="Intime"/>
    <n v="80"/>
    <n v="0.2"/>
    <n v="16"/>
    <n v="67"/>
  </r>
  <r>
    <s v="CID121"/>
    <s v="Julie"/>
    <s v="Meyer"/>
    <x v="93"/>
    <n v="23"/>
    <x v="1"/>
    <x v="0"/>
    <s v="julie.meyer@yahoo.com"/>
    <s v="17381 Smith Ramp Suite 398, Courtneyville, AL 17756"/>
    <s v="OID7555"/>
    <d v="2025-01-02T00:00:00"/>
    <x v="4"/>
    <s v="13:24:08"/>
    <x v="47"/>
    <n v="33.49"/>
    <n v="2"/>
    <n v="66.98"/>
    <x v="1"/>
    <n v="5.3584000000000005"/>
    <n v="61.621600000000001"/>
    <n v="2"/>
    <n v="106.6216"/>
    <n v="45"/>
    <d v="2025-01-03T00:00:00"/>
    <s v="07:39:38"/>
    <n v="111.98"/>
    <n v="1"/>
    <s v="BeforeTime"/>
    <n v="66.98"/>
    <n v="0.08"/>
    <n v="5.3584000000000005"/>
    <n v="50.358400000000003"/>
  </r>
  <r>
    <s v="CID166"/>
    <s v="Taylor"/>
    <s v="Davis"/>
    <x v="86"/>
    <n v="54"/>
    <x v="0"/>
    <x v="0"/>
    <s v="taylor.davis@yahoo.com"/>
    <s v="USCGC Simmons, FPO AA 60167"/>
    <s v="OID4643"/>
    <d v="2023-10-25T00:00:00"/>
    <x v="11"/>
    <s v="00:40:20"/>
    <x v="44"/>
    <n v="62.42"/>
    <n v="1"/>
    <n v="62.42"/>
    <x v="4"/>
    <n v="0"/>
    <n v="62.42"/>
    <n v="3"/>
    <n v="120.42"/>
    <n v="58"/>
    <d v="2023-10-30T00:00:00"/>
    <s v="20:26:25"/>
    <n v="120.42"/>
    <n v="5"/>
    <s v="Late"/>
    <n v="62.42"/>
    <n v="0"/>
    <n v="0"/>
    <n v="0"/>
  </r>
  <r>
    <s v="CID116"/>
    <s v="John"/>
    <s v="Ramirez"/>
    <x v="26"/>
    <n v="28"/>
    <x v="2"/>
    <x v="7"/>
    <s v="john.ramirez@outlook.com"/>
    <s v="02797 Martin Landing, South Michelle, VT 98781"/>
    <s v="OID8388"/>
    <d v="2024-01-31T00:00:00"/>
    <x v="4"/>
    <s v="04:27:02"/>
    <x v="44"/>
    <n v="62.42"/>
    <n v="1"/>
    <n v="62.42"/>
    <x v="0"/>
    <n v="12.484000000000002"/>
    <n v="49.936"/>
    <n v="6"/>
    <n v="102.93600000000001"/>
    <n v="53"/>
    <d v="2024-02-07T00:00:00"/>
    <s v="09:07:52"/>
    <n v="115.42"/>
    <n v="7"/>
    <s v="Late"/>
    <n v="62.42"/>
    <n v="0.2"/>
    <n v="12.484000000000002"/>
    <n v="65.484000000000009"/>
  </r>
  <r>
    <s v="CID104"/>
    <s v="Gary"/>
    <s v="Huff"/>
    <x v="48"/>
    <n v="18"/>
    <x v="1"/>
    <x v="4"/>
    <s v="gary.huff@gmail.com"/>
    <s v="58608 Alexander Terrace, South Bryan, SC 85541"/>
    <s v="OID1179"/>
    <d v="2024-09-28T00:00:00"/>
    <x v="9"/>
    <s v="06:33:59"/>
    <x v="44"/>
    <n v="62.42"/>
    <n v="1"/>
    <n v="62.42"/>
    <x v="1"/>
    <n v="4.9935999999999998"/>
    <n v="57.426400000000001"/>
    <n v="3"/>
    <n v="103.4264"/>
    <n v="46"/>
    <d v="2024-09-30T00:00:00"/>
    <s v="13:29:05"/>
    <n v="108.42"/>
    <n v="2"/>
    <s v="BeforeTime"/>
    <n v="62.42"/>
    <n v="0.08"/>
    <n v="4.9935999999999998"/>
    <n v="50.993600000000001"/>
  </r>
  <r>
    <s v="CID106"/>
    <s v="Scott"/>
    <s v="Jones"/>
    <x v="99"/>
    <n v="29"/>
    <x v="2"/>
    <x v="6"/>
    <s v="scott.jones@yahoo.com"/>
    <s v="086 Kristin Manor Apt. 829, Marissabury, CT 12152"/>
    <s v="OID9069"/>
    <d v="2024-09-02T00:00:00"/>
    <x v="9"/>
    <s v="02:29:46"/>
    <x v="44"/>
    <n v="62.42"/>
    <n v="1"/>
    <n v="62.42"/>
    <x v="1"/>
    <n v="4.9935999999999998"/>
    <n v="57.426400000000001"/>
    <n v="3"/>
    <n v="105.4264"/>
    <n v="48"/>
    <d v="2024-09-07T00:00:00"/>
    <s v="13:28:57"/>
    <n v="110.42"/>
    <n v="5"/>
    <s v="Late"/>
    <n v="62.42"/>
    <n v="0.08"/>
    <n v="4.9935999999999998"/>
    <n v="52.993600000000001"/>
  </r>
  <r>
    <s v="CID179"/>
    <s v="Christian"/>
    <s v="Clayton"/>
    <x v="16"/>
    <n v="39"/>
    <x v="0"/>
    <x v="5"/>
    <s v="christian.clayton@yahoo.com"/>
    <s v="065 Madison Way, Smithstad, CT 68011"/>
    <s v="OID9700"/>
    <d v="2024-03-15T00:00:00"/>
    <x v="5"/>
    <s v="17:39:16"/>
    <x v="48"/>
    <n v="20.7"/>
    <n v="3"/>
    <n v="62.099999999999994"/>
    <x v="4"/>
    <n v="0"/>
    <n v="62.099999999999994"/>
    <n v="1"/>
    <n v="129.1"/>
    <n v="67"/>
    <d v="2024-03-21T00:00:00"/>
    <s v="05:28:25"/>
    <n v="129.1"/>
    <n v="6"/>
    <s v="Late"/>
    <n v="62.099999999999994"/>
    <n v="0"/>
    <n v="0"/>
    <n v="0"/>
  </r>
  <r>
    <s v="CID128"/>
    <s v="Traci"/>
    <s v="Jones"/>
    <x v="95"/>
    <n v="34"/>
    <x v="1"/>
    <x v="6"/>
    <s v="traci.jones@yahoo.com"/>
    <s v="4016 Ryan Passage, Collinsside, PA 88777"/>
    <s v="OID9975"/>
    <d v="2023-11-13T00:00:00"/>
    <x v="2"/>
    <s v="09:31:29"/>
    <x v="48"/>
    <n v="20.7"/>
    <n v="3"/>
    <n v="62.099999999999994"/>
    <x v="1"/>
    <n v="4.968"/>
    <n v="57.131999999999991"/>
    <n v="5"/>
    <n v="103.13199999999999"/>
    <n v="46"/>
    <d v="2023-11-15T00:00:00"/>
    <s v="07:20:39"/>
    <n v="108.1"/>
    <n v="2"/>
    <s v="BeforeTime"/>
    <n v="62.099999999999994"/>
    <n v="0.08"/>
    <n v="4.968"/>
    <n v="50.968000000000004"/>
  </r>
  <r>
    <s v="CID164"/>
    <s v="Lauren"/>
    <s v="Lane"/>
    <x v="32"/>
    <n v="30"/>
    <x v="1"/>
    <x v="3"/>
    <s v="lauren.lane@gmail.com"/>
    <s v="56985 Sergio Extensions, Port Albert, CO 02898"/>
    <s v="OID9123"/>
    <d v="2025-02-07T00:00:00"/>
    <x v="10"/>
    <s v="10:50:23"/>
    <x v="49"/>
    <n v="20"/>
    <n v="3"/>
    <n v="60"/>
    <x v="2"/>
    <n v="6"/>
    <n v="54"/>
    <n v="7"/>
    <n v="119"/>
    <n v="65"/>
    <d v="2025-02-13T00:00:00"/>
    <s v="10:39:52"/>
    <n v="125"/>
    <n v="6"/>
    <s v="BeforeTime"/>
    <n v="60"/>
    <n v="0.1"/>
    <n v="6"/>
    <n v="71"/>
  </r>
  <r>
    <s v="CID130"/>
    <s v="Debra"/>
    <s v="Rodriguez"/>
    <x v="89"/>
    <n v="48"/>
    <x v="2"/>
    <x v="1"/>
    <s v="debra.rodriguez@rediffmail.com"/>
    <s v="Unit 5964 Box 0721, DPO AP 01840"/>
    <s v="OID9634"/>
    <d v="2023-12-22T00:00:00"/>
    <x v="7"/>
    <s v="13:46:47"/>
    <x v="45"/>
    <n v="48.45"/>
    <n v="1"/>
    <n v="48.45"/>
    <x v="3"/>
    <n v="7.2675000000000001"/>
    <n v="41.182500000000005"/>
    <n v="7"/>
    <n v="100.1825"/>
    <n v="59"/>
    <d v="2023-12-27T00:00:00"/>
    <s v="19:57:06"/>
    <n v="107.45"/>
    <n v="5"/>
    <s v="BeforeTime"/>
    <n v="48.45"/>
    <n v="0.15"/>
    <n v="7.2675000000000001"/>
    <n v="66.267499999999998"/>
  </r>
  <r>
    <s v="CID161"/>
    <s v="Heather"/>
    <s v="Schneider"/>
    <x v="43"/>
    <n v="48"/>
    <x v="0"/>
    <x v="6"/>
    <s v="heather.schneider@outlook.com"/>
    <s v="57940 Susan Creek Apt. 541, Port Aliciamouth, OR 90221"/>
    <s v="OID3140"/>
    <d v="2024-08-01T00:00:00"/>
    <x v="3"/>
    <s v="19:45:13"/>
    <x v="45"/>
    <n v="48.45"/>
    <n v="1"/>
    <n v="48.45"/>
    <x v="3"/>
    <n v="7.2675000000000001"/>
    <n v="41.182500000000005"/>
    <n v="6"/>
    <n v="107.1825"/>
    <n v="66"/>
    <d v="2024-08-08T00:00:00"/>
    <s v="13:53:47"/>
    <n v="114.45"/>
    <n v="7"/>
    <s v="Late"/>
    <n v="48.45"/>
    <n v="0.15"/>
    <n v="7.2675000000000001"/>
    <n v="73.267499999999998"/>
  </r>
  <r>
    <s v="CID152"/>
    <s v="Marcus"/>
    <s v="Valenzuela"/>
    <x v="97"/>
    <n v="39"/>
    <x v="1"/>
    <x v="0"/>
    <s v="marcus.valenzuela@yahoo.com"/>
    <s v="694 Graham Prairie Apt. 887, Jimenezfurt, MI 33044"/>
    <s v="OID9398"/>
    <d v="2023-10-28T00:00:00"/>
    <x v="11"/>
    <s v="07:48:29"/>
    <x v="45"/>
    <n v="48.45"/>
    <n v="1"/>
    <n v="48.45"/>
    <x v="0"/>
    <n v="9.6900000000000013"/>
    <n v="38.760000000000005"/>
    <n v="4"/>
    <n v="104.76"/>
    <n v="66"/>
    <d v="2023-10-29T00:00:00"/>
    <s v="23:09:43"/>
    <n v="114.45"/>
    <n v="1"/>
    <s v="BeforeTime"/>
    <n v="48.45"/>
    <n v="0.2"/>
    <n v="9.6900000000000013"/>
    <n v="75.69"/>
  </r>
  <r>
    <s v="CID123"/>
    <s v="Christy"/>
    <s v="Chang"/>
    <x v="49"/>
    <n v="38"/>
    <x v="0"/>
    <x v="3"/>
    <s v="christy.chang@outlook.com"/>
    <s v="4647 Hannah Centers, Rhodesburgh, NH 89363"/>
    <s v="OID6794"/>
    <d v="2023-05-13T00:00:00"/>
    <x v="1"/>
    <s v="15:34:31"/>
    <x v="45"/>
    <n v="48.45"/>
    <n v="1"/>
    <n v="48.45"/>
    <x v="2"/>
    <n v="4.8450000000000006"/>
    <n v="43.605000000000004"/>
    <n v="2"/>
    <n v="84.605000000000004"/>
    <n v="41"/>
    <d v="2023-05-16T00:00:00"/>
    <s v="10:35:02"/>
    <n v="89.45"/>
    <n v="3"/>
    <s v="Late"/>
    <n v="48.45"/>
    <n v="0.1"/>
    <n v="4.8450000000000006"/>
    <n v="45.844999999999999"/>
  </r>
  <r>
    <s v="CID110"/>
    <s v="Katie"/>
    <s v="Hicks"/>
    <x v="28"/>
    <n v="34"/>
    <x v="2"/>
    <x v="5"/>
    <s v="katie.hicks@rediffmail.com"/>
    <s v="848 William Port, New Marilyn, SD 58000"/>
    <s v="OID8004"/>
    <d v="2024-06-06T00:00:00"/>
    <x v="8"/>
    <s v="12:05:04"/>
    <x v="45"/>
    <n v="48.45"/>
    <n v="1"/>
    <n v="48.45"/>
    <x v="2"/>
    <n v="4.8450000000000006"/>
    <n v="43.605000000000004"/>
    <n v="5"/>
    <n v="81.605000000000004"/>
    <n v="38"/>
    <d v="2024-06-13T00:00:00"/>
    <s v="18:05:47"/>
    <n v="86.45"/>
    <n v="7"/>
    <s v="Late"/>
    <n v="48.45"/>
    <n v="0.1"/>
    <n v="4.8450000000000006"/>
    <n v="42.844999999999999"/>
  </r>
  <r>
    <s v="CID102"/>
    <s v="Jessica"/>
    <s v="Ruiz"/>
    <x v="17"/>
    <n v="19"/>
    <x v="0"/>
    <x v="4"/>
    <s v="jessica.ruiz@rediffmail.com"/>
    <s v="02370 Laura Station Suite 309, Brandonville, DE 18875"/>
    <s v="OID9578"/>
    <d v="2023-12-12T00:00:00"/>
    <x v="7"/>
    <s v="15:56:55"/>
    <x v="46"/>
    <n v="44.5"/>
    <n v="1"/>
    <n v="44.5"/>
    <x v="2"/>
    <n v="4.45"/>
    <n v="40.049999999999997"/>
    <n v="4"/>
    <n v="89.05"/>
    <n v="49"/>
    <d v="2023-12-18T00:00:00"/>
    <s v="18:16:24"/>
    <n v="93.5"/>
    <n v="6"/>
    <s v="Late"/>
    <n v="44.5"/>
    <n v="0.1"/>
    <n v="4.45"/>
    <n v="53.45"/>
  </r>
  <r>
    <s v="CID133"/>
    <s v="Donna"/>
    <s v="Oneill"/>
    <x v="36"/>
    <n v="70"/>
    <x v="1"/>
    <x v="2"/>
    <s v="donna.oneill@yahoo.com"/>
    <s v="464 Carolyn Crest Suite 738, Lake Isaiah, CA 66153"/>
    <s v="OID3523"/>
    <d v="2023-12-10T00:00:00"/>
    <x v="7"/>
    <s v="10:33:52"/>
    <x v="46"/>
    <n v="44.5"/>
    <n v="1"/>
    <n v="44.5"/>
    <x v="4"/>
    <n v="0"/>
    <n v="44.5"/>
    <n v="1"/>
    <n v="81.5"/>
    <n v="37"/>
    <d v="2023-12-17T00:00:00"/>
    <s v="11:21:30"/>
    <n v="81.5"/>
    <n v="7"/>
    <s v="Late"/>
    <n v="44.5"/>
    <n v="0"/>
    <n v="0"/>
    <n v="0"/>
  </r>
  <r>
    <s v="CID181"/>
    <s v="Alexandra"/>
    <s v="Smith"/>
    <x v="4"/>
    <n v="70"/>
    <x v="1"/>
    <x v="0"/>
    <s v="alexandra.smith@rediffmail.com"/>
    <s v="48611 Clark Village, West Anne, GA 92865"/>
    <s v="OID3616"/>
    <d v="2024-09-10T00:00:00"/>
    <x v="9"/>
    <s v="04:25:34"/>
    <x v="48"/>
    <n v="20.7"/>
    <n v="2"/>
    <n v="41.4"/>
    <x v="2"/>
    <n v="4.1399999999999997"/>
    <n v="37.26"/>
    <n v="2"/>
    <n v="87.259999999999991"/>
    <n v="50"/>
    <d v="2024-09-12T00:00:00"/>
    <s v="00:47:31"/>
    <n v="91.4"/>
    <n v="2"/>
    <s v="Intime"/>
    <n v="41.4"/>
    <n v="0.1"/>
    <n v="4.1399999999999997"/>
    <n v="54.14"/>
  </r>
  <r>
    <s v="CID112"/>
    <s v="Lindsey"/>
    <s v="Byrd"/>
    <x v="13"/>
    <n v="32"/>
    <x v="1"/>
    <x v="5"/>
    <s v="lindsey.byrd@rediffmail.com"/>
    <s v="USCGC Harper, FPO AA 38349"/>
    <s v="OID3035"/>
    <d v="2023-06-29T00:00:00"/>
    <x v="8"/>
    <s v="22:11:06"/>
    <x v="48"/>
    <n v="20.7"/>
    <n v="2"/>
    <n v="41.4"/>
    <x v="4"/>
    <n v="0"/>
    <n v="41.4"/>
    <n v="7"/>
    <n v="84.4"/>
    <n v="43"/>
    <d v="2023-06-30T00:00:00"/>
    <s v="11:35:56"/>
    <n v="84.4"/>
    <n v="1"/>
    <s v="BeforeTime"/>
    <n v="41.4"/>
    <n v="0"/>
    <n v="0"/>
    <n v="0"/>
  </r>
  <r>
    <s v="CID135"/>
    <s v="Amanda"/>
    <s v="Howard"/>
    <x v="60"/>
    <n v="52"/>
    <x v="2"/>
    <x v="3"/>
    <s v="amanda.howard@outlook.com"/>
    <s v="56908 Sydney Park Suite 632, West Anthonyport, NC 15954"/>
    <s v="OID1041"/>
    <d v="2023-12-19T00:00:00"/>
    <x v="7"/>
    <s v="01:23:40"/>
    <x v="48"/>
    <n v="20.7"/>
    <n v="2"/>
    <n v="41.4"/>
    <x v="1"/>
    <n v="3.3119999999999998"/>
    <n v="38.088000000000001"/>
    <n v="7"/>
    <n v="77.087999999999994"/>
    <n v="39"/>
    <d v="2023-12-26T00:00:00"/>
    <s v="19:01:55"/>
    <n v="80.400000000000006"/>
    <n v="7"/>
    <s v="Intime"/>
    <n v="41.4"/>
    <n v="0.08"/>
    <n v="3.3119999999999998"/>
    <n v="42.311999999999998"/>
  </r>
  <r>
    <s v="CID154"/>
    <s v="Angela"/>
    <s v="Casey"/>
    <x v="91"/>
    <n v="40"/>
    <x v="1"/>
    <x v="4"/>
    <s v="angela.casey@gmail.com"/>
    <s v="089 Farley Terrace, Thomashaven, MT 56607"/>
    <s v="OID5703"/>
    <d v="2023-09-06T00:00:00"/>
    <x v="9"/>
    <s v="16:01:40"/>
    <x v="48"/>
    <n v="20.7"/>
    <n v="2"/>
    <n v="41.4"/>
    <x v="1"/>
    <n v="3.3119999999999998"/>
    <n v="38.088000000000001"/>
    <n v="5"/>
    <n v="99.087999999999994"/>
    <n v="61"/>
    <d v="2023-09-08T00:00:00"/>
    <s v="02:24:54"/>
    <n v="102.4"/>
    <n v="2"/>
    <s v="BeforeTime"/>
    <n v="41.4"/>
    <n v="0.08"/>
    <n v="3.3119999999999998"/>
    <n v="64.311999999999998"/>
  </r>
  <r>
    <s v="CID148"/>
    <s v="Erin"/>
    <s v="Miller"/>
    <x v="8"/>
    <n v="46"/>
    <x v="1"/>
    <x v="2"/>
    <s v="erin.miller@gmail.com"/>
    <s v="65972 Peterson Route, Port Andrewfurt, SD 32892"/>
    <s v="OID6340"/>
    <d v="2024-07-06T00:00:00"/>
    <x v="6"/>
    <s v="10:50:30"/>
    <x v="49"/>
    <n v="20"/>
    <n v="2"/>
    <n v="40"/>
    <x v="2"/>
    <n v="4"/>
    <n v="36"/>
    <n v="3"/>
    <n v="74"/>
    <n v="38"/>
    <d v="2024-07-12T00:00:00"/>
    <s v="16:59:14"/>
    <n v="78"/>
    <n v="6"/>
    <s v="Late"/>
    <n v="40"/>
    <n v="0.1"/>
    <n v="4"/>
    <n v="42"/>
  </r>
  <r>
    <s v="CID129"/>
    <s v="Rebecca"/>
    <s v="Figueroa"/>
    <x v="69"/>
    <n v="63"/>
    <x v="1"/>
    <x v="7"/>
    <s v="rebecca.figueroa@outlook.com"/>
    <s v="3959 Bell Dale, North Jacob, LA 07934"/>
    <s v="OID4147"/>
    <d v="2024-11-27T00:00:00"/>
    <x v="2"/>
    <s v="03:23:04"/>
    <x v="49"/>
    <n v="20"/>
    <n v="2"/>
    <n v="40"/>
    <x v="4"/>
    <n v="0"/>
    <n v="40"/>
    <n v="5"/>
    <n v="95"/>
    <n v="55"/>
    <d v="2024-12-03T00:00:00"/>
    <s v="05:02:16"/>
    <n v="95"/>
    <n v="6"/>
    <s v="Late"/>
    <n v="40"/>
    <n v="0"/>
    <n v="0"/>
    <n v="0"/>
  </r>
  <r>
    <s v="CID137"/>
    <s v="Gina"/>
    <s v="Moreno"/>
    <x v="35"/>
    <n v="36"/>
    <x v="2"/>
    <x v="7"/>
    <s v="gina.moreno@rediffmail.com"/>
    <s v="USS Murray, FPO AP 66559"/>
    <s v="OID4552"/>
    <d v="2023-09-25T00:00:00"/>
    <x v="9"/>
    <s v="12:10:36"/>
    <x v="49"/>
    <n v="20"/>
    <n v="2"/>
    <n v="40"/>
    <x v="2"/>
    <n v="4"/>
    <n v="36"/>
    <n v="1"/>
    <n v="104"/>
    <n v="68"/>
    <d v="2023-09-26T00:00:00"/>
    <s v="23:31:23"/>
    <n v="108"/>
    <n v="1"/>
    <s v="Intime"/>
    <n v="40"/>
    <n v="0.1"/>
    <n v="4"/>
    <n v="72"/>
  </r>
  <r>
    <s v="CID172"/>
    <s v="Kara"/>
    <s v="Brennan"/>
    <x v="77"/>
    <n v="25"/>
    <x v="2"/>
    <x v="7"/>
    <s v="kara.brennan@outlook.com"/>
    <s v="2174 Thomas Avenue, Maciasborough, NJ 41465"/>
    <s v="OID5326"/>
    <d v="2024-10-15T00:00:00"/>
    <x v="11"/>
    <s v="13:40:51"/>
    <x v="47"/>
    <n v="33.49"/>
    <n v="1"/>
    <n v="33.49"/>
    <x v="4"/>
    <n v="0"/>
    <n v="33.49"/>
    <n v="1"/>
    <n v="92.490000000000009"/>
    <n v="59"/>
    <d v="2024-10-20T00:00:00"/>
    <s v="00:35:18"/>
    <n v="92.490000000000009"/>
    <n v="5"/>
    <s v="Late"/>
    <n v="33.49"/>
    <n v="0"/>
    <n v="0"/>
    <n v="0"/>
  </r>
  <r>
    <s v="CID118"/>
    <s v="Amy"/>
    <s v="Ellis"/>
    <x v="44"/>
    <n v="44"/>
    <x v="2"/>
    <x v="6"/>
    <s v="amy.ellis@gmail.com"/>
    <s v="217 Scott Ville, Christophermouth, NH 83776"/>
    <s v="OID8347"/>
    <d v="2023-12-25T00:00:00"/>
    <x v="7"/>
    <s v="00:08:51"/>
    <x v="47"/>
    <n v="33.49"/>
    <n v="1"/>
    <n v="33.49"/>
    <x v="1"/>
    <n v="2.6792000000000002"/>
    <n v="30.8108"/>
    <n v="2"/>
    <n v="97.8108"/>
    <n v="67"/>
    <d v="2023-12-26T00:00:00"/>
    <s v="10:47:50"/>
    <n v="100.49000000000001"/>
    <n v="1"/>
    <s v="BeforeTime"/>
    <n v="33.49"/>
    <n v="0.08"/>
    <n v="2.6792000000000002"/>
    <n v="69.679199999999994"/>
  </r>
  <r>
    <s v="CID175"/>
    <s v="Katherine"/>
    <s v="Weber"/>
    <x v="15"/>
    <n v="42"/>
    <x v="2"/>
    <x v="4"/>
    <s v="katherine.weber@outlook.com"/>
    <s v="04887 Kimberly Union Apt. 645, Port Laura, IL 97219"/>
    <s v="OID7996"/>
    <d v="2025-01-09T00:00:00"/>
    <x v="4"/>
    <s v="17:23:49"/>
    <x v="47"/>
    <n v="33.49"/>
    <n v="1"/>
    <n v="33.49"/>
    <x v="0"/>
    <n v="6.6980000000000004"/>
    <n v="26.792000000000002"/>
    <n v="4"/>
    <n v="87.792000000000002"/>
    <n v="61"/>
    <d v="2025-01-11T00:00:00"/>
    <s v="01:46:13"/>
    <n v="94.490000000000009"/>
    <n v="2"/>
    <s v="BeforeTime"/>
    <n v="33.49"/>
    <n v="0.2"/>
    <n v="6.6980000000000004"/>
    <n v="67.698000000000008"/>
  </r>
  <r>
    <s v="CID114"/>
    <s v="Lauren"/>
    <s v="Crane"/>
    <x v="3"/>
    <n v="62"/>
    <x v="0"/>
    <x v="1"/>
    <s v="lauren.crane@yahoo.com"/>
    <s v="30313 Reyes Parkways Suite 392, Port Bradley, SC 24078"/>
    <s v="OID6504"/>
    <d v="2024-03-29T00:00:00"/>
    <x v="5"/>
    <s v="12:05:41"/>
    <x v="47"/>
    <n v="33.49"/>
    <n v="1"/>
    <n v="33.49"/>
    <x v="4"/>
    <n v="0"/>
    <n v="33.49"/>
    <n v="2"/>
    <n v="102.49000000000001"/>
    <n v="69"/>
    <d v="2024-04-03T00:00:00"/>
    <s v="04:38:50"/>
    <n v="102.49000000000001"/>
    <n v="5"/>
    <s v="Late"/>
    <n v="33.49"/>
    <n v="0"/>
    <n v="0"/>
    <n v="0"/>
  </r>
  <r>
    <s v="CID156"/>
    <s v="Gregory"/>
    <s v="Lee"/>
    <x v="87"/>
    <n v="26"/>
    <x v="2"/>
    <x v="4"/>
    <s v="gregory.lee@rediffmail.com"/>
    <s v="619 Parker Turnpike Apt. 025, West Brucehaven, ID 48437"/>
    <s v="OID6651"/>
    <d v="2023-10-05T00:00:00"/>
    <x v="11"/>
    <s v="03:18:41"/>
    <x v="47"/>
    <n v="33.49"/>
    <n v="1"/>
    <n v="33.49"/>
    <x v="3"/>
    <n v="5.0235000000000003"/>
    <n v="28.466500000000003"/>
    <n v="4"/>
    <n v="72.466499999999996"/>
    <n v="44"/>
    <d v="2023-10-07T00:00:00"/>
    <s v="01:31:23"/>
    <n v="77.490000000000009"/>
    <n v="2"/>
    <s v="BeforeTime"/>
    <n v="33.49"/>
    <n v="0.15"/>
    <n v="5.0235000000000003"/>
    <n v="49.023499999999999"/>
  </r>
  <r>
    <s v="CID142"/>
    <s v="Thomas"/>
    <s v="Owens"/>
    <x v="96"/>
    <n v="34"/>
    <x v="2"/>
    <x v="3"/>
    <s v="thomas.owens@outlook.com"/>
    <s v="43920 Shaffer Valley Suite 531, South Jerry, MD 67120"/>
    <s v="OID7303"/>
    <d v="2023-06-08T00:00:00"/>
    <x v="8"/>
    <s v="23:40:03"/>
    <x v="48"/>
    <n v="20.7"/>
    <n v="1"/>
    <n v="20.7"/>
    <x v="4"/>
    <n v="0"/>
    <n v="20.7"/>
    <n v="5"/>
    <n v="71.7"/>
    <n v="51"/>
    <d v="2023-06-09T00:00:00"/>
    <s v="09:33:08"/>
    <n v="71.7"/>
    <n v="1"/>
    <s v="BeforeTime"/>
    <n v="20.7"/>
    <n v="0"/>
    <n v="0"/>
    <n v="0"/>
  </r>
  <r>
    <s v="CID147"/>
    <s v="Mallory"/>
    <s v="Mitchell"/>
    <x v="85"/>
    <n v="42"/>
    <x v="0"/>
    <x v="2"/>
    <s v="mallory.mitchell@yahoo.com"/>
    <s v="710 Anthony Wall Suite 137, East Davidstad, NV 61494"/>
    <s v="OID7238"/>
    <d v="2023-12-30T00:00:00"/>
    <x v="7"/>
    <s v="08:22:36"/>
    <x v="48"/>
    <n v="20.7"/>
    <n v="1"/>
    <n v="20.7"/>
    <x v="2"/>
    <n v="2.0699999999999998"/>
    <n v="18.63"/>
    <n v="5"/>
    <n v="73.63"/>
    <n v="55"/>
    <d v="2023-12-31T00:00:00"/>
    <s v="07:46:17"/>
    <n v="75.7"/>
    <n v="1"/>
    <s v="BeforeTime"/>
    <n v="20.7"/>
    <n v="0.1"/>
    <n v="2.0699999999999998"/>
    <n v="57.07"/>
  </r>
  <r>
    <s v="CID188"/>
    <s v="Kristina"/>
    <s v="Haynes"/>
    <x v="51"/>
    <n v="27"/>
    <x v="1"/>
    <x v="1"/>
    <s v="kristina.haynes@yahoo.com"/>
    <s v="18295 Thomas River, Kochville, NH 80868"/>
    <s v="OID6608"/>
    <d v="2023-09-14T00:00:00"/>
    <x v="9"/>
    <s v="10:28:03"/>
    <x v="49"/>
    <n v="20"/>
    <n v="1"/>
    <n v="20"/>
    <x v="2"/>
    <n v="2"/>
    <n v="18"/>
    <n v="4"/>
    <n v="86"/>
    <n v="68"/>
    <d v="2023-09-16T00:00:00"/>
    <s v="23:08:52"/>
    <n v="88"/>
    <n v="2"/>
    <s v="BeforeTime"/>
    <n v="20"/>
    <n v="0.1"/>
    <n v="2"/>
    <n v="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8AF6FD-B6FA-4920-BFA6-6C236487407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4" firstHeaderRow="1" firstDataRow="1" firstDataCol="1"/>
  <pivotFields count="32">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axis="axisRow" showAll="0" sortType="descending">
      <items count="51">
        <item x="17"/>
        <item x="40"/>
        <item x="48"/>
        <item x="0"/>
        <item x="3"/>
        <item x="2"/>
        <item x="26"/>
        <item x="13"/>
        <item x="42"/>
        <item x="46"/>
        <item x="18"/>
        <item x="35"/>
        <item x="22"/>
        <item x="20"/>
        <item x="34"/>
        <item x="33"/>
        <item x="6"/>
        <item x="44"/>
        <item x="19"/>
        <item x="5"/>
        <item x="36"/>
        <item x="16"/>
        <item x="27"/>
        <item x="41"/>
        <item x="10"/>
        <item x="37"/>
        <item x="1"/>
        <item x="38"/>
        <item x="11"/>
        <item x="23"/>
        <item x="9"/>
        <item x="7"/>
        <item x="45"/>
        <item x="24"/>
        <item x="15"/>
        <item x="31"/>
        <item x="43"/>
        <item x="8"/>
        <item x="25"/>
        <item x="39"/>
        <item x="12"/>
        <item x="29"/>
        <item x="21"/>
        <item x="49"/>
        <item x="47"/>
        <item x="14"/>
        <item x="28"/>
        <item x="32"/>
        <item x="4"/>
        <item x="3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numFmtId="9" showAll="0"/>
    <pivotField showAll="0"/>
    <pivotField showAll="0"/>
  </pivotFields>
  <rowFields count="1">
    <field x="13"/>
  </rowFields>
  <rowItems count="51">
    <i>
      <x v="1"/>
    </i>
    <i>
      <x v="35"/>
    </i>
    <i>
      <x v="45"/>
    </i>
    <i>
      <x v="17"/>
    </i>
    <i>
      <x v="26"/>
    </i>
    <i>
      <x v="13"/>
    </i>
    <i>
      <x v="16"/>
    </i>
    <i>
      <x v="37"/>
    </i>
    <i>
      <x v="47"/>
    </i>
    <i>
      <x v="40"/>
    </i>
    <i>
      <x v="49"/>
    </i>
    <i>
      <x v="2"/>
    </i>
    <i>
      <x v="42"/>
    </i>
    <i>
      <x v="3"/>
    </i>
    <i>
      <x v="24"/>
    </i>
    <i>
      <x/>
    </i>
    <i>
      <x v="44"/>
    </i>
    <i>
      <x v="6"/>
    </i>
    <i>
      <x v="19"/>
    </i>
    <i>
      <x v="41"/>
    </i>
    <i>
      <x v="12"/>
    </i>
    <i>
      <x v="48"/>
    </i>
    <i>
      <x v="23"/>
    </i>
    <i>
      <x v="32"/>
    </i>
    <i>
      <x v="9"/>
    </i>
    <i>
      <x v="5"/>
    </i>
    <i>
      <x v="28"/>
    </i>
    <i>
      <x v="25"/>
    </i>
    <i>
      <x v="21"/>
    </i>
    <i>
      <x v="30"/>
    </i>
    <i>
      <x v="20"/>
    </i>
    <i>
      <x v="31"/>
    </i>
    <i>
      <x v="36"/>
    </i>
    <i>
      <x v="43"/>
    </i>
    <i>
      <x v="29"/>
    </i>
    <i>
      <x v="11"/>
    </i>
    <i>
      <x v="14"/>
    </i>
    <i>
      <x v="8"/>
    </i>
    <i>
      <x v="22"/>
    </i>
    <i>
      <x v="38"/>
    </i>
    <i>
      <x v="4"/>
    </i>
    <i>
      <x v="15"/>
    </i>
    <i>
      <x v="27"/>
    </i>
    <i>
      <x v="18"/>
    </i>
    <i>
      <x v="46"/>
    </i>
    <i>
      <x v="34"/>
    </i>
    <i>
      <x v="39"/>
    </i>
    <i>
      <x v="10"/>
    </i>
    <i>
      <x v="7"/>
    </i>
    <i>
      <x v="33"/>
    </i>
    <i t="grand">
      <x/>
    </i>
  </rowItems>
  <colItems count="1">
    <i/>
  </colItems>
  <dataFields count="1">
    <dataField name="Sum of Quantity"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A9C3D0-AC39-4460-A544-A4E566EABD2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4" firstHeaderRow="1" firstDataRow="1" firstDataCol="1"/>
  <pivotFields count="2">
    <pivotField dataField="1" subtotalTop="0" showAll="0" defaultSubtotal="0"/>
    <pivotField axis="axisRow" allDrilled="1" subtotalTop="0" showAll="0"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s>
  <rowFields count="1">
    <field x="1"/>
  </rowFields>
  <rowItems count="51">
    <i>
      <x v="26"/>
    </i>
    <i>
      <x v="45"/>
    </i>
    <i>
      <x v="3"/>
    </i>
    <i>
      <x v="16"/>
    </i>
    <i>
      <x v="37"/>
    </i>
    <i>
      <x v="24"/>
    </i>
    <i>
      <x v="40"/>
    </i>
    <i>
      <x v="19"/>
    </i>
    <i>
      <x v="5"/>
    </i>
    <i>
      <x v="48"/>
    </i>
    <i>
      <x/>
    </i>
    <i>
      <x v="42"/>
    </i>
    <i>
      <x v="13"/>
    </i>
    <i>
      <x v="31"/>
    </i>
    <i>
      <x v="30"/>
    </i>
    <i>
      <x v="28"/>
    </i>
    <i>
      <x v="4"/>
    </i>
    <i>
      <x v="21"/>
    </i>
    <i>
      <x v="34"/>
    </i>
    <i>
      <x v="35"/>
    </i>
    <i>
      <x v="6"/>
    </i>
    <i>
      <x v="7"/>
    </i>
    <i>
      <x v="12"/>
    </i>
    <i>
      <x v="29"/>
    </i>
    <i>
      <x v="18"/>
    </i>
    <i>
      <x v="1"/>
    </i>
    <i>
      <x v="49"/>
    </i>
    <i>
      <x v="47"/>
    </i>
    <i>
      <x v="41"/>
    </i>
    <i>
      <x v="38"/>
    </i>
    <i>
      <x v="10"/>
    </i>
    <i>
      <x v="22"/>
    </i>
    <i>
      <x v="14"/>
    </i>
    <i>
      <x v="33"/>
    </i>
    <i>
      <x v="46"/>
    </i>
    <i>
      <x v="25"/>
    </i>
    <i>
      <x v="20"/>
    </i>
    <i>
      <x v="23"/>
    </i>
    <i>
      <x v="11"/>
    </i>
    <i>
      <x v="17"/>
    </i>
    <i>
      <x v="15"/>
    </i>
    <i>
      <x v="27"/>
    </i>
    <i>
      <x v="39"/>
    </i>
    <i>
      <x v="8"/>
    </i>
    <i>
      <x v="36"/>
    </i>
    <i>
      <x v="32"/>
    </i>
    <i>
      <x v="44"/>
    </i>
    <i>
      <x v="9"/>
    </i>
    <i>
      <x v="2"/>
    </i>
    <i>
      <x v="43"/>
    </i>
    <i t="grand">
      <x/>
    </i>
  </rowItems>
  <colItems count="1">
    <i/>
  </colItems>
  <dataFields count="1">
    <dataField name="Sum of SALES" fld="0"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2S7_Excel_Mini_Project_data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9BEFC4-766F-4AAB-8C38-CB96A0E05048}" name="PivotTable2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5">
  <location ref="A3:B14" firstHeaderRow="1" firstDataRow="1" firstDataCol="1"/>
  <pivotFields count="32">
    <pivotField showAll="0"/>
    <pivotField showAll="0"/>
    <pivotField showAll="0"/>
    <pivotField axis="axisRow" showAll="0" measureFilter="1" sortType="descending">
      <items count="101">
        <item x="9"/>
        <item x="4"/>
        <item x="60"/>
        <item x="44"/>
        <item x="1"/>
        <item x="34"/>
        <item x="91"/>
        <item x="52"/>
        <item x="65"/>
        <item x="40"/>
        <item x="76"/>
        <item x="88"/>
        <item x="42"/>
        <item x="12"/>
        <item x="62"/>
        <item x="68"/>
        <item x="57"/>
        <item x="23"/>
        <item x="11"/>
        <item x="33"/>
        <item x="0"/>
        <item x="16"/>
        <item x="58"/>
        <item x="56"/>
        <item x="49"/>
        <item x="79"/>
        <item x="67"/>
        <item x="54"/>
        <item x="46"/>
        <item x="89"/>
        <item x="29"/>
        <item x="36"/>
        <item x="31"/>
        <item x="8"/>
        <item x="48"/>
        <item x="90"/>
        <item x="35"/>
        <item x="87"/>
        <item x="38"/>
        <item x="43"/>
        <item x="92"/>
        <item x="80"/>
        <item x="59"/>
        <item x="14"/>
        <item x="24"/>
        <item x="55"/>
        <item x="17"/>
        <item x="2"/>
        <item x="22"/>
        <item x="26"/>
        <item x="41"/>
        <item x="21"/>
        <item x="50"/>
        <item x="93"/>
        <item x="77"/>
        <item x="20"/>
        <item x="15"/>
        <item x="28"/>
        <item x="72"/>
        <item x="45"/>
        <item x="51"/>
        <item x="3"/>
        <item x="32"/>
        <item x="5"/>
        <item x="53"/>
        <item x="13"/>
        <item x="37"/>
        <item x="25"/>
        <item x="85"/>
        <item x="81"/>
        <item x="97"/>
        <item x="82"/>
        <item x="7"/>
        <item x="6"/>
        <item x="66"/>
        <item x="94"/>
        <item x="74"/>
        <item x="39"/>
        <item x="30"/>
        <item x="75"/>
        <item x="98"/>
        <item x="69"/>
        <item x="61"/>
        <item x="83"/>
        <item x="19"/>
        <item x="64"/>
        <item x="99"/>
        <item x="73"/>
        <item x="18"/>
        <item x="86"/>
        <item x="70"/>
        <item x="63"/>
        <item x="96"/>
        <item x="78"/>
        <item x="95"/>
        <item x="47"/>
        <item x="10"/>
        <item x="27"/>
        <item x="71"/>
        <item x="8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numFmtId="9" showAll="0"/>
    <pivotField showAll="0"/>
    <pivotField dataField="1" showAll="0"/>
  </pivotFields>
  <rowFields count="1">
    <field x="3"/>
  </rowFields>
  <rowItems count="11">
    <i>
      <x v="47"/>
    </i>
    <i>
      <x v="3"/>
    </i>
    <i>
      <x v="17"/>
    </i>
    <i>
      <x v="61"/>
    </i>
    <i>
      <x v="72"/>
    </i>
    <i>
      <x v="49"/>
    </i>
    <i>
      <x v="63"/>
    </i>
    <i>
      <x v="33"/>
    </i>
    <i>
      <x v="73"/>
    </i>
    <i>
      <x v="85"/>
    </i>
    <i t="grand">
      <x/>
    </i>
  </rowItems>
  <colItems count="1">
    <i/>
  </colItems>
  <dataFields count="1">
    <dataField name="Sum of Amount_with_Delivery_Charge" fld="31" baseField="0" baseItem="0"/>
  </dataFields>
  <chartFormats count="29">
    <chartFormat chart="0"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50" format="5"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 chart="52" format="3" series="1">
      <pivotArea type="data" outline="0" fieldPosition="0">
        <references count="1">
          <reference field="4294967294" count="1" selected="0">
            <x v="0"/>
          </reference>
        </references>
      </pivotArea>
    </chartFormat>
    <chartFormat chart="53" format="3" series="1">
      <pivotArea type="data" outline="0" fieldPosition="0">
        <references count="1">
          <reference field="4294967294" count="1" selected="0">
            <x v="0"/>
          </reference>
        </references>
      </pivotArea>
    </chartFormat>
    <chartFormat chart="54" format="3" series="1">
      <pivotArea type="data" outline="0" fieldPosition="0">
        <references count="1">
          <reference field="4294967294" count="1" selected="0">
            <x v="0"/>
          </reference>
        </references>
      </pivotArea>
    </chartFormat>
    <chartFormat chart="55" format="3" series="1">
      <pivotArea type="data" outline="0" fieldPosition="0">
        <references count="1">
          <reference field="4294967294" count="1" selected="0">
            <x v="0"/>
          </reference>
        </references>
      </pivotArea>
    </chartFormat>
    <chartFormat chart="56" format="4" series="1">
      <pivotArea type="data" outline="0" fieldPosition="0">
        <references count="1">
          <reference field="4294967294" count="1" selected="0">
            <x v="0"/>
          </reference>
        </references>
      </pivotArea>
    </chartFormat>
    <chartFormat chart="57" format="3" series="1">
      <pivotArea type="data" outline="0" fieldPosition="0">
        <references count="1">
          <reference field="4294967294" count="1" selected="0">
            <x v="0"/>
          </reference>
        </references>
      </pivotArea>
    </chartFormat>
    <chartFormat chart="58" format="4" series="1">
      <pivotArea type="data" outline="0" fieldPosition="0">
        <references count="1">
          <reference field="4294967294" count="1" selected="0">
            <x v="0"/>
          </reference>
        </references>
      </pivotArea>
    </chartFormat>
    <chartFormat chart="59" format="3" series="1">
      <pivotArea type="data" outline="0" fieldPosition="0">
        <references count="1">
          <reference field="4294967294" count="1" selected="0">
            <x v="0"/>
          </reference>
        </references>
      </pivotArea>
    </chartFormat>
    <chartFormat chart="60" format="3" series="1">
      <pivotArea type="data" outline="0" fieldPosition="0">
        <references count="1">
          <reference field="4294967294" count="1" selected="0">
            <x v="0"/>
          </reference>
        </references>
      </pivotArea>
    </chartFormat>
    <chartFormat chart="61" format="4" series="1">
      <pivotArea type="data" outline="0" fieldPosition="0">
        <references count="1">
          <reference field="4294967294" count="1" selected="0">
            <x v="0"/>
          </reference>
        </references>
      </pivotArea>
    </chartFormat>
    <chartFormat chart="62" format="3" series="1">
      <pivotArea type="data" outline="0" fieldPosition="0">
        <references count="1">
          <reference field="4294967294" count="1" selected="0">
            <x v="0"/>
          </reference>
        </references>
      </pivotArea>
    </chartFormat>
    <chartFormat chart="63" format="4"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 chart="66" format="5" series="1">
      <pivotArea type="data" outline="0" fieldPosition="0">
        <references count="1">
          <reference field="4294967294" count="1" selected="0">
            <x v="0"/>
          </reference>
        </references>
      </pivotArea>
    </chartFormat>
    <chartFormat chart="67" format="4" series="1">
      <pivotArea type="data" outline="0" fieldPosition="0">
        <references count="1">
          <reference field="4294967294" count="1" selected="0">
            <x v="0"/>
          </reference>
        </references>
      </pivotArea>
    </chartFormat>
    <chartFormat chart="68" format="4" series="1">
      <pivotArea type="data" outline="0" fieldPosition="0">
        <references count="1">
          <reference field="4294967294" count="1" selected="0">
            <x v="0"/>
          </reference>
        </references>
      </pivotArea>
    </chartFormat>
    <chartFormat chart="69" format="4" series="1">
      <pivotArea type="data" outline="0" fieldPosition="0">
        <references count="1">
          <reference field="4294967294" count="1" selected="0">
            <x v="0"/>
          </reference>
        </references>
      </pivotArea>
    </chartFormat>
    <chartFormat chart="72" format="4" series="1">
      <pivotArea type="data" outline="0" fieldPosition="0">
        <references count="1">
          <reference field="4294967294" count="1" selected="0">
            <x v="0"/>
          </reference>
        </references>
      </pivotArea>
    </chartFormat>
    <chartFormat chart="73" format="5" series="1">
      <pivotArea type="data" outline="0" fieldPosition="0">
        <references count="1">
          <reference field="4294967294" count="1" selected="0">
            <x v="0"/>
          </reference>
        </references>
      </pivotArea>
    </chartFormat>
    <chartFormat chart="74" format="4" series="1">
      <pivotArea type="data" outline="0" fieldPosition="0">
        <references count="1">
          <reference field="4294967294" count="1" selected="0">
            <x v="0"/>
          </reference>
        </references>
      </pivotArea>
    </chartFormat>
    <chartFormat chart="75" format="4" series="1">
      <pivotArea type="data" outline="0" fieldPosition="0">
        <references count="1">
          <reference field="4294967294" count="1" selected="0">
            <x v="0"/>
          </reference>
        </references>
      </pivotArea>
    </chartFormat>
    <chartFormat chart="77" format="4" series="1">
      <pivotArea type="data" outline="0" fieldPosition="0">
        <references count="1">
          <reference field="4294967294" count="1" selected="0">
            <x v="0"/>
          </reference>
        </references>
      </pivotArea>
    </chartFormat>
    <chartFormat chart="78" format="5" series="1">
      <pivotArea type="data" outline="0" fieldPosition="0">
        <references count="1">
          <reference field="4294967294" count="1" selected="0">
            <x v="0"/>
          </reference>
        </references>
      </pivotArea>
    </chartFormat>
    <chartFormat chart="79" format="5" series="1">
      <pivotArea type="data" outline="0" fieldPosition="0">
        <references count="1">
          <reference field="4294967294" count="1" selected="0">
            <x v="0"/>
          </reference>
        </references>
      </pivotArea>
    </chartFormat>
    <chartFormat chart="8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6E81D3-D60B-466F-96AA-CDC6F71861E0}"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2">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3"/>
    </i>
    <i>
      <x v="5"/>
    </i>
    <i>
      <x v="6"/>
    </i>
    <i>
      <x v="2"/>
    </i>
    <i>
      <x v="1"/>
    </i>
    <i>
      <x v="4"/>
    </i>
    <i>
      <x/>
    </i>
    <i t="grand">
      <x/>
    </i>
  </rowItems>
  <colItems count="1">
    <i/>
  </colItems>
  <dataFields count="1">
    <dataField name="Count of Product_ID" fld="1"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6"/>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0" count="1" selected="0">
            <x v="3"/>
          </reference>
        </references>
      </pivotArea>
    </chartFormat>
    <chartFormat chart="2" format="18">
      <pivotArea type="data" outline="0" fieldPosition="0">
        <references count="2">
          <reference field="4294967294" count="1" selected="0">
            <x v="0"/>
          </reference>
          <reference field="0" count="1" selected="0">
            <x v="5"/>
          </reference>
        </references>
      </pivotArea>
    </chartFormat>
    <chartFormat chart="2" format="19">
      <pivotArea type="data" outline="0" fieldPosition="0">
        <references count="2">
          <reference field="4294967294" count="1" selected="0">
            <x v="0"/>
          </reference>
          <reference field="0" count="1" selected="0">
            <x v="6"/>
          </reference>
        </references>
      </pivotArea>
    </chartFormat>
    <chartFormat chart="2" format="20">
      <pivotArea type="data" outline="0" fieldPosition="0">
        <references count="2">
          <reference field="4294967294" count="1" selected="0">
            <x v="0"/>
          </reference>
          <reference field="0" count="1" selected="0">
            <x v="2"/>
          </reference>
        </references>
      </pivotArea>
    </chartFormat>
    <chartFormat chart="2" format="21">
      <pivotArea type="data" outline="0" fieldPosition="0">
        <references count="2">
          <reference field="4294967294" count="1" selected="0">
            <x v="0"/>
          </reference>
          <reference field="0" count="1" selected="0">
            <x v="1"/>
          </reference>
        </references>
      </pivotArea>
    </chartFormat>
    <chartFormat chart="2" format="22">
      <pivotArea type="data" outline="0" fieldPosition="0">
        <references count="2">
          <reference field="4294967294" count="1" selected="0">
            <x v="0"/>
          </reference>
          <reference field="0" count="1" selected="0">
            <x v="4"/>
          </reference>
        </references>
      </pivotArea>
    </chartFormat>
    <chartFormat chart="2" format="23">
      <pivotArea type="data" outline="0" fieldPosition="0">
        <references count="2">
          <reference field="4294967294" count="1" selected="0">
            <x v="0"/>
          </reference>
          <reference field="0"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7" filterVal="7"/>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2S7_Excel_Mini_Project_data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FD5A06-7883-47C4-B081-8CD63C324D65}" name="PivotTable2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32">
    <pivotField showAll="0"/>
    <pivotField showAll="0"/>
    <pivotField showAll="0"/>
    <pivotField showAll="0"/>
    <pivotField showAll="0"/>
    <pivotField showAll="0"/>
    <pivotField axis="axisRow" showAll="0" sortType="descending">
      <items count="9">
        <item x="5"/>
        <item x="3"/>
        <item x="1"/>
        <item x="6"/>
        <item x="7"/>
        <item x="4"/>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numFmtId="9" showAll="0"/>
    <pivotField showAll="0"/>
    <pivotField showAll="0"/>
  </pivotFields>
  <rowFields count="1">
    <field x="6"/>
  </rowFields>
  <rowItems count="9">
    <i>
      <x v="2"/>
    </i>
    <i>
      <x v="7"/>
    </i>
    <i>
      <x v="3"/>
    </i>
    <i>
      <x v="6"/>
    </i>
    <i>
      <x v="1"/>
    </i>
    <i>
      <x/>
    </i>
    <i>
      <x v="5"/>
    </i>
    <i>
      <x v="4"/>
    </i>
    <i t="grand">
      <x/>
    </i>
  </rowItems>
  <colItems count="1">
    <i/>
  </colItems>
  <dataFields count="1">
    <dataField name="Count of Order_ID" fld="9"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35D84A-1AEB-47E5-A9E5-899B502646C8}" name="PivotTable3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32">
    <pivotField showAll="0"/>
    <pivotField showAll="0"/>
    <pivotField showAll="0"/>
    <pivotField showAll="0"/>
    <pivotField showAll="0"/>
    <pivotField showAll="0"/>
    <pivotField axis="axisRow" showAll="0" sortType="descending">
      <items count="9">
        <item x="5"/>
        <item x="3"/>
        <item x="1"/>
        <item x="6"/>
        <item x="7"/>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numFmtId="9" showAll="0"/>
    <pivotField showAll="0"/>
    <pivotField dataField="1" showAll="0"/>
  </pivotFields>
  <rowFields count="1">
    <field x="6"/>
  </rowFields>
  <rowItems count="9">
    <i>
      <x v="2"/>
    </i>
    <i>
      <x v="7"/>
    </i>
    <i>
      <x v="6"/>
    </i>
    <i>
      <x v="3"/>
    </i>
    <i>
      <x v="1"/>
    </i>
    <i>
      <x v="5"/>
    </i>
    <i>
      <x/>
    </i>
    <i>
      <x v="4"/>
    </i>
    <i t="grand">
      <x/>
    </i>
  </rowItems>
  <colItems count="1">
    <i/>
  </colItems>
  <dataFields count="1">
    <dataField name="Sum of Amount_with_Delivery_Charge" fld="3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B60B97-B65E-49C4-BA78-FF26F7D3A884}" name="PivotTable3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32">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axis="axisRow" dataField="1" showAll="0" sortType="descending">
      <items count="6">
        <item x="1"/>
        <item x="0"/>
        <item x="3"/>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showAll="0"/>
    <pivotField showAll="0"/>
    <pivotField showAll="0"/>
    <pivotField numFmtId="9" showAll="0"/>
    <pivotField showAll="0"/>
    <pivotField showAll="0"/>
  </pivotFields>
  <rowFields count="1">
    <field x="17"/>
  </rowFields>
  <rowItems count="6">
    <i>
      <x/>
    </i>
    <i>
      <x v="1"/>
    </i>
    <i>
      <x v="4"/>
    </i>
    <i>
      <x v="3"/>
    </i>
    <i>
      <x v="2"/>
    </i>
    <i t="grand">
      <x/>
    </i>
  </rowItems>
  <colItems count="1">
    <i/>
  </colItems>
  <dataFields count="1">
    <dataField name="Count of Coupon_Code" fld="17"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4"/>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0" format="5">
      <pivotArea type="data" outline="0" fieldPosition="0">
        <references count="2">
          <reference field="4294967294" count="1" selected="0">
            <x v="0"/>
          </reference>
          <reference field="17"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7" count="1" selected="0">
            <x v="0"/>
          </reference>
        </references>
      </pivotArea>
    </chartFormat>
    <chartFormat chart="2" format="14">
      <pivotArea type="data" outline="0" fieldPosition="0">
        <references count="2">
          <reference field="4294967294" count="1" selected="0">
            <x v="0"/>
          </reference>
          <reference field="17" count="1" selected="0">
            <x v="1"/>
          </reference>
        </references>
      </pivotArea>
    </chartFormat>
    <chartFormat chart="2" format="15">
      <pivotArea type="data" outline="0" fieldPosition="0">
        <references count="2">
          <reference field="4294967294" count="1" selected="0">
            <x v="0"/>
          </reference>
          <reference field="17" count="1" selected="0">
            <x v="4"/>
          </reference>
        </references>
      </pivotArea>
    </chartFormat>
    <chartFormat chart="2" format="16">
      <pivotArea type="data" outline="0" fieldPosition="0">
        <references count="2">
          <reference field="4294967294" count="1" selected="0">
            <x v="0"/>
          </reference>
          <reference field="17" count="1" selected="0">
            <x v="3"/>
          </reference>
        </references>
      </pivotArea>
    </chartFormat>
    <chartFormat chart="2" format="17">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45F69E-617E-47F1-BE0A-0CB79717B96D}" name="PivotTable3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17" firstHeaderRow="1" firstDataRow="2" firstDataCol="1"/>
  <pivotFields count="32">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numFmtId="164" showAll="0"/>
    <pivotField axis="axisRow" showAll="0">
      <items count="13">
        <item x="4"/>
        <item x="10"/>
        <item x="5"/>
        <item x="0"/>
        <item x="1"/>
        <item x="8"/>
        <item x="6"/>
        <item x="3"/>
        <item x="9"/>
        <item x="11"/>
        <item x="2"/>
        <item x="7"/>
        <item t="default"/>
      </items>
    </pivotField>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numFmtId="9" showAll="0"/>
    <pivotField showAll="0"/>
    <pivotField dataField="1" showAll="0"/>
  </pivotFields>
  <rowFields count="1">
    <field x="11"/>
  </rowFields>
  <rowItems count="13">
    <i>
      <x/>
    </i>
    <i>
      <x v="1"/>
    </i>
    <i>
      <x v="2"/>
    </i>
    <i>
      <x v="3"/>
    </i>
    <i>
      <x v="4"/>
    </i>
    <i>
      <x v="5"/>
    </i>
    <i>
      <x v="6"/>
    </i>
    <i>
      <x v="7"/>
    </i>
    <i>
      <x v="8"/>
    </i>
    <i>
      <x v="9"/>
    </i>
    <i>
      <x v="10"/>
    </i>
    <i>
      <x v="11"/>
    </i>
    <i t="grand">
      <x/>
    </i>
  </rowItems>
  <colFields count="1">
    <field x="5"/>
  </colFields>
  <colItems count="4">
    <i>
      <x/>
    </i>
    <i>
      <x v="1"/>
    </i>
    <i>
      <x v="2"/>
    </i>
    <i t="grand">
      <x/>
    </i>
  </colItems>
  <dataFields count="1">
    <dataField name="Sum of Amount_with_Delivery_Charge" fld="31" baseField="0" baseItem="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C3BF4FF-C092-46C4-BF6A-BF849E4221C0}" sourceName="[Table1].[City]">
  <data>
    <olap pivotCacheId="489939892">
      <levels count="2">
        <level uniqueName="[Table1].[City].[(All)]" sourceCaption="(All)" count="0"/>
        <level uniqueName="[Table1].[City].[City]" sourceCaption="City" count="8">
          <ranges>
            <range startItem="0">
              <i n="[Table1].[City].&amp;[Chicago]" c="Chicago"/>
              <i n="[Table1].[City].&amp;[Dallas]" c="Dallas"/>
              <i n="[Table1].[City].&amp;[Houston]" c="Houston"/>
              <i n="[Table1].[City].&amp;[Los Angeles]" c="Los Angeles"/>
              <i n="[Table1].[City].&amp;[Miami]" c="Miami"/>
              <i n="[Table1].[City].&amp;[New York]" c="New York"/>
              <i n="[Table1].[City].&amp;[Phoenix]" c="Phoenix"/>
              <i n="[Table1].[City].&amp;[San Francisco]" c="San Francisco"/>
            </range>
          </ranges>
        </level>
      </levels>
      <selections count="1">
        <selection n="[Table1].[City].&amp;[Dalla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F255FCD-4408-4423-85FD-EAE0BDB1B633}" sourceName="[Table1].[Gender]">
  <data>
    <olap pivotCacheId="489939892">
      <levels count="2">
        <level uniqueName="[Table1].[Gender].[(All)]" sourceCaption="(All)" count="0"/>
        <level uniqueName="[Table1].[Gender].[Gender]" sourceCaption="Gender" count="3">
          <ranges>
            <range startItem="0">
              <i n="[Table1].[Gender].&amp;[Female]" c="Female"/>
              <i n="[Table1].[Gender].&amp;[Male]" c="Male"/>
              <i n="[Table1].[Gender].&amp;[Other]" c="Other"/>
            </range>
          </ranges>
        </level>
      </levels>
      <selections count="1">
        <selection n="[Table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_Code" xr10:uid="{D5E450FA-A058-44D5-A9C2-23540BA9A4A5}" sourceName="[Table1].[Coupon_Code]">
  <data>
    <olap pivotCacheId="489939892">
      <levels count="2">
        <level uniqueName="[Table1].[Coupon_Code].[(All)]" sourceCaption="(All)" count="0"/>
        <level uniqueName="[Table1].[Coupon_Code].[Coupon_Code]" sourceCaption="Coupon_Code" count="5">
          <ranges>
            <range startItem="0">
              <i n="[Table1].[Coupon_Code].&amp;[DEL0]" c="DEL0"/>
              <i n="[Table1].[Coupon_Code].&amp;[FLAT10]" c="FLAT10"/>
              <i n="[Table1].[Coupon_Code].&amp;[FLAT15]" c="FLAT15"/>
              <i n="[Table1].[Coupon_Code].&amp;[FLAT20]" c="FLAT20"/>
              <i n="[Table1].[Coupon_Code].&amp;[FLAT8]" c="FLAT8"/>
            </range>
          </ranges>
        </level>
      </levels>
      <selections count="1">
        <selection n="[Table1].[Coupon_C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86B856E5-C6F0-4E36-805A-7516304DBDC0}" sourceName="[Table1].[Product_ID]">
  <data>
    <olap pivotCacheId="489939892">
      <levels count="2">
        <level uniqueName="[Table1].[Product_ID].[(All)]" sourceCaption="(All)" count="0"/>
        <level uniqueName="[Table1].[Product_ID].[Product_ID]" sourceCaption="Product_ID" count="50">
          <ranges>
            <range startItem="0">
              <i n="[Table1].[Product_ID].&amp;[PID001]" c="PID001"/>
              <i n="[Table1].[Product_ID].&amp;[PID002]" c="PID002"/>
              <i n="[Table1].[Product_ID].&amp;[PID003]" c="PID003"/>
              <i n="[Table1].[Product_ID].&amp;[PID004]" c="PID004"/>
              <i n="[Table1].[Product_ID].&amp;[PID005]" c="PID005"/>
              <i n="[Table1].[Product_ID].&amp;[PID006]" c="PID006"/>
              <i n="[Table1].[Product_ID].&amp;[PID007]" c="PID007"/>
              <i n="[Table1].[Product_ID].&amp;[PID008]" c="PID008"/>
              <i n="[Table1].[Product_ID].&amp;[PID009]" c="PID009"/>
              <i n="[Table1].[Product_ID].&amp;[PID010]" c="PID010"/>
              <i n="[Table1].[Product_ID].&amp;[PID011]" c="PID011"/>
              <i n="[Table1].[Product_ID].&amp;[PID012]" c="PID012"/>
              <i n="[Table1].[Product_ID].&amp;[PID013]" c="PID013"/>
              <i n="[Table1].[Product_ID].&amp;[PID014]" c="PID014"/>
              <i n="[Table1].[Product_ID].&amp;[PID015]" c="PID015"/>
              <i n="[Table1].[Product_ID].&amp;[PID016]" c="PID016"/>
              <i n="[Table1].[Product_ID].&amp;[PID017]" c="PID017"/>
              <i n="[Table1].[Product_ID].&amp;[PID018]" c="PID018"/>
              <i n="[Table1].[Product_ID].&amp;[PID019]" c="PID019"/>
              <i n="[Table1].[Product_ID].&amp;[PID020]" c="PID020"/>
              <i n="[Table1].[Product_ID].&amp;[PID021]" c="PID021"/>
              <i n="[Table1].[Product_ID].&amp;[PID022]" c="PID022"/>
              <i n="[Table1].[Product_ID].&amp;[PID023]" c="PID023"/>
              <i n="[Table1].[Product_ID].&amp;[PID024]" c="PID024"/>
              <i n="[Table1].[Product_ID].&amp;[PID025]" c="PID025"/>
              <i n="[Table1].[Product_ID].&amp;[PID026]" c="PID026"/>
              <i n="[Table1].[Product_ID].&amp;[PID027]" c="PID027"/>
              <i n="[Table1].[Product_ID].&amp;[PID028]" c="PID028"/>
              <i n="[Table1].[Product_ID].&amp;[PID029]" c="PID029"/>
              <i n="[Table1].[Product_ID].&amp;[PID030]" c="PID030"/>
              <i n="[Table1].[Product_ID].&amp;[PID031]" c="PID031"/>
              <i n="[Table1].[Product_ID].&amp;[PID032]" c="PID032"/>
              <i n="[Table1].[Product_ID].&amp;[PID033]" c="PID033"/>
              <i n="[Table1].[Product_ID].&amp;[PID034]" c="PID034"/>
              <i n="[Table1].[Product_ID].&amp;[PID035]" c="PID035"/>
              <i n="[Table1].[Product_ID].&amp;[PID036]" c="PID036"/>
              <i n="[Table1].[Product_ID].&amp;[PID037]" c="PID037"/>
              <i n="[Table1].[Product_ID].&amp;[PID038]" c="PID038"/>
              <i n="[Table1].[Product_ID].&amp;[PID039]" c="PID039"/>
              <i n="[Table1].[Product_ID].&amp;[PID040]" c="PID040"/>
              <i n="[Table1].[Product_ID].&amp;[PID041]" c="PID041"/>
              <i n="[Table1].[Product_ID].&amp;[PID042]" c="PID042"/>
              <i n="[Table1].[Product_ID].&amp;[PID043]" c="PID043"/>
              <i n="[Table1].[Product_ID].&amp;[PID044]" c="PID044"/>
              <i n="[Table1].[Product_ID].&amp;[PID045]" c="PID045"/>
              <i n="[Table1].[Product_ID].&amp;[PID046]" c="PID046"/>
              <i n="[Table1].[Product_ID].&amp;[PID047]" c="PID047"/>
              <i n="[Table1].[Product_ID].&amp;[PID048]" c="PID048"/>
              <i n="[Table1].[Product_ID].&amp;[PID049]" c="PID049"/>
              <i n="[Table1].[Product_ID].&amp;[PID050]" c="PID050"/>
            </range>
          </ranges>
        </level>
      </levels>
      <selections count="1">
        <selection n="[Table1].[Product_I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01279D1D-4AD0-41C3-BD2C-CB6860E4D337}" sourceName="[Table1].[Order_Month]">
  <data>
    <olap pivotCacheId="489939892">
      <levels count="2">
        <level uniqueName="[Table1].[Order_Month].[(All)]" sourceCaption="(All)" count="0"/>
        <level uniqueName="[Table1].[Order_Month].[Order_Month]" sourceCaption="Order_Month" count="12">
          <ranges>
            <range startItem="0">
              <i n="[Table1].[Order_Month].&amp;[April]" c="April"/>
              <i n="[Table1].[Order_Month].&amp;[August]" c="August"/>
              <i n="[Table1].[Order_Month].&amp;[December]" c="December"/>
              <i n="[Table1].[Order_Month].&amp;[February]" c="February"/>
              <i n="[Table1].[Order_Month].&amp;[January]" c="January"/>
              <i n="[Table1].[Order_Month].&amp;[July]" c="July"/>
              <i n="[Table1].[Order_Month].&amp;[June]" c="June"/>
              <i n="[Table1].[Order_Month].&amp;[March]" c="March"/>
              <i n="[Table1].[Order_Month].&amp;[May]" c="May"/>
              <i n="[Table1].[Order_Month].&amp;[November]" c="November"/>
              <i n="[Table1].[Order_Month].&amp;[October]" c="October"/>
              <i n="[Table1].[Order_Month].&amp;[September]" c="September"/>
            </range>
          </ranges>
        </level>
      </levels>
      <selections count="1">
        <selection n="[Table1].[Order_Month].&amp;[Apri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A272F19-AB28-4C4B-B823-2EADAF6EFE3E}" cache="Slicer_City" caption="City" level="1" rowHeight="234950"/>
  <slicer name="Gender" xr10:uid="{304FBB61-495B-4E89-BF4E-B5C00B75560E}" cache="Slicer_Gender" caption="Gender" level="1" rowHeight="234950"/>
  <slicer name="Coupon_Code" xr10:uid="{0FBBA68C-85D5-4AD2-9E89-876F7D978EE5}" cache="Slicer_Coupon_Code" caption="Coupon_Code" level="1" rowHeight="234950"/>
  <slicer name="Product_ID" xr10:uid="{88D457C3-85B6-4684-A3B4-2C06B06BEF43}" cache="Slicer_Product_ID" caption="Product_ID" level="1" rowHeight="234950"/>
  <slicer name="Order_Month" xr10:uid="{4FEE2003-1F82-4FFD-BCBE-5C19F7738461}" cache="Slicer_Order_Month" caption="Order_Month"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32E98A-DFAF-49D6-929C-A2F21E4FF9AD}" name="Table1" displayName="Table1" ref="A1:AF501" totalsRowShown="0" headerRowDxfId="35" dataDxfId="33" headerRowBorderDxfId="34" tableBorderDxfId="32">
  <autoFilter ref="A1:AF501" xr:uid="{00000000-0009-0000-0000-000000000000}"/>
  <sortState xmlns:xlrd2="http://schemas.microsoft.com/office/spreadsheetml/2017/richdata2" ref="A2:Y501">
    <sortCondition descending="1" ref="Q1:Q501"/>
  </sortState>
  <tableColumns count="32">
    <tableColumn id="1" xr3:uid="{93064F7D-E75B-4C9D-ADE6-2EEDE9C7DC92}" name="Customer_ID" dataDxfId="31"/>
    <tableColumn id="2" xr3:uid="{8D0FB01E-94D9-4EA1-BE74-70FC1BA03C53}" name="First_Name" dataDxfId="30"/>
    <tableColumn id="3" xr3:uid="{65CC2984-FAFB-4EC2-A786-7AB4E5914E68}" name="Last_Name" dataDxfId="29"/>
    <tableColumn id="31" xr3:uid="{6C28A811-A742-415D-89CE-BB97A10921EC}" name="Full_Name" dataDxfId="28">
      <calculatedColumnFormula>_xlfn.CONCAT(B2," ",C2)</calculatedColumnFormula>
    </tableColumn>
    <tableColumn id="4" xr3:uid="{9361AB69-9CA4-4D95-9FA6-7FE231C7C72C}" name="Age" dataDxfId="27"/>
    <tableColumn id="5" xr3:uid="{2D00551D-82C5-4C28-9AC8-280B1EBD0652}" name="Gender" dataDxfId="26"/>
    <tableColumn id="6" xr3:uid="{13726C45-1594-4447-8D8C-E3385A6A7B08}" name="City" dataDxfId="25"/>
    <tableColumn id="7" xr3:uid="{0F75BD39-1D9D-4634-A370-1823005B0116}" name="Email" dataDxfId="24"/>
    <tableColumn id="8" xr3:uid="{77E8414D-839E-4EF8-8FB5-517E6AC2E154}" name="Address" dataDxfId="23"/>
    <tableColumn id="9" xr3:uid="{1308A120-FDBB-42FF-9380-415FBB0D1EE7}" name="Order_ID" dataDxfId="22"/>
    <tableColumn id="10" xr3:uid="{1B4E6607-D2B5-4B8E-B918-C526D9063667}" name="Order_Date" dataDxfId="21"/>
    <tableColumn id="33" xr3:uid="{FF747385-E9EC-4F8A-A202-5C49BA57F39E}" name="Order_Month" dataDxfId="20">
      <calculatedColumnFormula>TEXT(K2,"mmmm")</calculatedColumnFormula>
    </tableColumn>
    <tableColumn id="11" xr3:uid="{D49FD812-5D61-449E-B2F9-3FCA80A95FB6}" name="Order_Time" dataDxfId="19"/>
    <tableColumn id="12" xr3:uid="{90609B76-8DD9-4DDA-BCE3-E162DA74F703}" name="Product_ID" dataDxfId="18"/>
    <tableColumn id="13" xr3:uid="{D5656A5E-6194-4249-8EE6-3E2A00AA066C}" name="Price" dataDxfId="17"/>
    <tableColumn id="14" xr3:uid="{048F22C2-9813-41C6-BF52-E0F85CCDC6C8}" name="Quantity" dataDxfId="16"/>
    <tableColumn id="20" xr3:uid="{84BCC2BE-E64B-42AF-91B3-B7BD2C64BBC5}" name="Order_Amount" dataDxfId="15">
      <calculatedColumnFormula>O2*P2</calculatedColumnFormula>
    </tableColumn>
    <tableColumn id="15" xr3:uid="{2890CE8B-ACD8-4780-8F37-E60106F6CEA2}" name="Coupon_Code" dataDxfId="14"/>
    <tableColumn id="22" xr3:uid="{CF26FF28-05A0-4DB1-ABC8-702FBEEBFF28}" name="Discount" dataDxfId="13">
      <calculatedColumnFormula>IF(R2="FLAT8",O2*P2*8%,IF(R2="FLAT10",O2*P2*10%,IF(R2="FLAT15",O2*P2*15%,IF(R2="FLAT20",O2*P2*20%,0))))</calculatedColumnFormula>
    </tableColumn>
    <tableColumn id="23" xr3:uid="{E1ED3494-1F69-4A56-AADA-22D04501C5B8}" name="Amount_after_discount" dataDxfId="12">
      <calculatedColumnFormula>Q2-S2</calculatedColumnFormula>
    </tableColumn>
    <tableColumn id="16" xr3:uid="{7F6DB60C-36F2-464C-B2E5-B57A131132C0}" name="Estimated_Days_to_Deliver" dataDxfId="11"/>
    <tableColumn id="24" xr3:uid="{2A6625CC-19E1-4DB0-BBA3-A03359B1A25E}" name="Final_Amount" dataDxfId="10">
      <calculatedColumnFormula>T2+W2</calculatedColumnFormula>
    </tableColumn>
    <tableColumn id="17" xr3:uid="{323E447C-7B8F-4F4E-838A-C1334A3000CB}" name="Delivery_Charge" dataDxfId="9"/>
    <tableColumn id="18" xr3:uid="{62342130-A2D1-4BD3-A645-A60B1792484C}" name="Delivery_Date" dataDxfId="8"/>
    <tableColumn id="19" xr3:uid="{1F95D9B6-E39E-48AC-889E-B0CF9AF21269}" name="Delivery_Time" dataDxfId="7"/>
    <tableColumn id="21" xr3:uid="{BD09893B-6A50-46BE-9F73-503122B8A02B}" name="SALES" dataDxfId="6">
      <calculatedColumnFormula>(O2*P2)+W2</calculatedColumnFormula>
    </tableColumn>
    <tableColumn id="25" xr3:uid="{579125CB-7202-471F-959D-E60118346BE2}" name="Days_to_Deliver" dataDxfId="5">
      <calculatedColumnFormula>X2-K2</calculatedColumnFormula>
    </tableColumn>
    <tableColumn id="32" xr3:uid="{3425D8EC-FFDD-49DB-99E9-74230585834C}" name="Delivery_Status" dataDxfId="4">
      <calculatedColumnFormula>IF(AA2&gt;U2,"Late",IF(AA2=U2,"Intime","BeforeTime"))</calculatedColumnFormula>
    </tableColumn>
    <tableColumn id="26" xr3:uid="{871D632B-19B5-4A8A-BA8D-81063779694F}" name="Amount" dataDxfId="3">
      <calculatedColumnFormula>O2*P2</calculatedColumnFormula>
    </tableColumn>
    <tableColumn id="27" xr3:uid="{4F519F6B-96D2-4D0A-9F78-4B7B8D4B76A5}" name="Discount_Percent" dataDxfId="2" dataCellStyle="Percent">
      <calculatedColumnFormula>IF(R2="FLAT8",8%,IF(R2="FLAT10",10%,IF(R2="FLAT15",15%,IF(R2="FLAT20",20%,0))))</calculatedColumnFormula>
    </tableColumn>
    <tableColumn id="28" xr3:uid="{F56B211D-2B47-4105-BBB4-B66051CF4EAD}" name="Discounted_Amount" dataDxfId="1">
      <calculatedColumnFormula>Q2*AD2</calculatedColumnFormula>
    </tableColumn>
    <tableColumn id="30" xr3:uid="{AF6825CB-7665-4062-943C-E66075C4C442}" name="Amount_with_Delivery_Charge" dataDxfId="0">
      <calculatedColumnFormula>IF(R2="DEL0",AE2,AE2+W2)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0DB0D-1330-41C7-BD15-4D933AA07FA5}">
  <dimension ref="A3:B54"/>
  <sheetViews>
    <sheetView workbookViewId="0">
      <selection activeCell="B4" sqref="B4"/>
    </sheetView>
  </sheetViews>
  <sheetFormatPr defaultRowHeight="14.4" x14ac:dyDescent="0.3"/>
  <cols>
    <col min="1" max="1" width="12.5546875" bestFit="1" customWidth="1"/>
    <col min="2" max="2" width="14.88671875" bestFit="1" customWidth="1"/>
  </cols>
  <sheetData>
    <row r="3" spans="1:2" x14ac:dyDescent="0.3">
      <c r="A3" s="4" t="s">
        <v>2050</v>
      </c>
      <c r="B3" t="s">
        <v>2052</v>
      </c>
    </row>
    <row r="4" spans="1:2" x14ac:dyDescent="0.3">
      <c r="A4" s="5" t="s">
        <v>934</v>
      </c>
      <c r="B4">
        <v>51</v>
      </c>
    </row>
    <row r="5" spans="1:2" x14ac:dyDescent="0.3">
      <c r="A5" s="5" t="s">
        <v>280</v>
      </c>
      <c r="B5">
        <v>48</v>
      </c>
    </row>
    <row r="6" spans="1:2" x14ac:dyDescent="0.3">
      <c r="A6" s="5" t="s">
        <v>88</v>
      </c>
      <c r="B6">
        <v>48</v>
      </c>
    </row>
    <row r="7" spans="1:2" x14ac:dyDescent="0.3">
      <c r="A7" s="5" t="s">
        <v>263</v>
      </c>
      <c r="B7">
        <v>44</v>
      </c>
    </row>
    <row r="8" spans="1:2" x14ac:dyDescent="0.3">
      <c r="A8" s="5" t="s">
        <v>316</v>
      </c>
      <c r="B8">
        <v>42</v>
      </c>
    </row>
    <row r="9" spans="1:2" x14ac:dyDescent="0.3">
      <c r="A9" s="5" t="s">
        <v>166</v>
      </c>
      <c r="B9">
        <v>41</v>
      </c>
    </row>
    <row r="10" spans="1:2" x14ac:dyDescent="0.3">
      <c r="A10" s="5" t="s">
        <v>546</v>
      </c>
      <c r="B10">
        <v>38</v>
      </c>
    </row>
    <row r="11" spans="1:2" x14ac:dyDescent="0.3">
      <c r="A11" s="5" t="s">
        <v>488</v>
      </c>
      <c r="B11">
        <v>37</v>
      </c>
    </row>
    <row r="12" spans="1:2" x14ac:dyDescent="0.3">
      <c r="A12" s="5" t="s">
        <v>507</v>
      </c>
      <c r="B12">
        <v>37</v>
      </c>
    </row>
    <row r="13" spans="1:2" x14ac:dyDescent="0.3">
      <c r="A13" s="5" t="s">
        <v>337</v>
      </c>
      <c r="B13">
        <v>35</v>
      </c>
    </row>
    <row r="14" spans="1:2" x14ac:dyDescent="0.3">
      <c r="A14" s="5" t="s">
        <v>284</v>
      </c>
      <c r="B14">
        <v>35</v>
      </c>
    </row>
    <row r="15" spans="1:2" x14ac:dyDescent="0.3">
      <c r="A15" s="5" t="s">
        <v>192</v>
      </c>
      <c r="B15">
        <v>35</v>
      </c>
    </row>
    <row r="16" spans="1:2" x14ac:dyDescent="0.3">
      <c r="A16" s="5" t="s">
        <v>74</v>
      </c>
      <c r="B16">
        <v>34</v>
      </c>
    </row>
    <row r="17" spans="1:2" x14ac:dyDescent="0.3">
      <c r="A17" s="5" t="s">
        <v>349</v>
      </c>
      <c r="B17">
        <v>34</v>
      </c>
    </row>
    <row r="18" spans="1:2" x14ac:dyDescent="0.3">
      <c r="A18" s="5" t="s">
        <v>583</v>
      </c>
      <c r="B18">
        <v>33</v>
      </c>
    </row>
    <row r="19" spans="1:2" x14ac:dyDescent="0.3">
      <c r="A19" s="5" t="s">
        <v>423</v>
      </c>
      <c r="B19">
        <v>31</v>
      </c>
    </row>
    <row r="20" spans="1:2" x14ac:dyDescent="0.3">
      <c r="A20" s="5" t="s">
        <v>977</v>
      </c>
      <c r="B20">
        <v>31</v>
      </c>
    </row>
    <row r="21" spans="1:2" x14ac:dyDescent="0.3">
      <c r="A21" s="5" t="s">
        <v>119</v>
      </c>
      <c r="B21">
        <v>30</v>
      </c>
    </row>
    <row r="22" spans="1:2" x14ac:dyDescent="0.3">
      <c r="A22" s="5" t="s">
        <v>376</v>
      </c>
      <c r="B22">
        <v>30</v>
      </c>
    </row>
    <row r="23" spans="1:2" x14ac:dyDescent="0.3">
      <c r="A23" s="5" t="s">
        <v>128</v>
      </c>
      <c r="B23">
        <v>29</v>
      </c>
    </row>
    <row r="24" spans="1:2" x14ac:dyDescent="0.3">
      <c r="A24" s="5" t="s">
        <v>650</v>
      </c>
      <c r="B24">
        <v>29</v>
      </c>
    </row>
    <row r="25" spans="1:2" x14ac:dyDescent="0.3">
      <c r="A25" s="5" t="s">
        <v>511</v>
      </c>
      <c r="B25">
        <v>29</v>
      </c>
    </row>
    <row r="26" spans="1:2" x14ac:dyDescent="0.3">
      <c r="A26" s="5" t="s">
        <v>175</v>
      </c>
      <c r="B26">
        <v>29</v>
      </c>
    </row>
    <row r="27" spans="1:2" x14ac:dyDescent="0.3">
      <c r="A27" s="5" t="s">
        <v>107</v>
      </c>
      <c r="B27">
        <v>28</v>
      </c>
    </row>
    <row r="28" spans="1:2" x14ac:dyDescent="0.3">
      <c r="A28" s="5" t="s">
        <v>411</v>
      </c>
      <c r="B28">
        <v>27</v>
      </c>
    </row>
    <row r="29" spans="1:2" x14ac:dyDescent="0.3">
      <c r="A29" s="5" t="s">
        <v>566</v>
      </c>
      <c r="B29">
        <v>27</v>
      </c>
    </row>
    <row r="30" spans="1:2" x14ac:dyDescent="0.3">
      <c r="A30" s="5" t="s">
        <v>741</v>
      </c>
      <c r="B30">
        <v>27</v>
      </c>
    </row>
    <row r="31" spans="1:2" x14ac:dyDescent="0.3">
      <c r="A31" s="5" t="s">
        <v>243</v>
      </c>
      <c r="B31">
        <v>26</v>
      </c>
    </row>
    <row r="32" spans="1:2" x14ac:dyDescent="0.3">
      <c r="A32" s="5" t="s">
        <v>28</v>
      </c>
      <c r="B32">
        <v>26</v>
      </c>
    </row>
    <row r="33" spans="1:2" x14ac:dyDescent="0.3">
      <c r="A33" s="5" t="s">
        <v>55</v>
      </c>
      <c r="B33">
        <v>26</v>
      </c>
    </row>
    <row r="34" spans="1:2" x14ac:dyDescent="0.3">
      <c r="A34" s="5" t="s">
        <v>301</v>
      </c>
      <c r="B34">
        <v>25</v>
      </c>
    </row>
    <row r="35" spans="1:2" x14ac:dyDescent="0.3">
      <c r="A35" s="5" t="s">
        <v>679</v>
      </c>
      <c r="B35">
        <v>25</v>
      </c>
    </row>
    <row r="36" spans="1:2" x14ac:dyDescent="0.3">
      <c r="A36" s="5" t="s">
        <v>333</v>
      </c>
      <c r="B36">
        <v>25</v>
      </c>
    </row>
    <row r="37" spans="1:2" x14ac:dyDescent="0.3">
      <c r="A37" s="5" t="s">
        <v>767</v>
      </c>
      <c r="B37">
        <v>24</v>
      </c>
    </row>
    <row r="38" spans="1:2" x14ac:dyDescent="0.3">
      <c r="A38" s="5" t="s">
        <v>239</v>
      </c>
      <c r="B38">
        <v>24</v>
      </c>
    </row>
    <row r="39" spans="1:2" x14ac:dyDescent="0.3">
      <c r="A39" s="5" t="s">
        <v>227</v>
      </c>
      <c r="B39">
        <v>23</v>
      </c>
    </row>
    <row r="40" spans="1:2" x14ac:dyDescent="0.3">
      <c r="A40" s="5" t="s">
        <v>40</v>
      </c>
      <c r="B40">
        <v>23</v>
      </c>
    </row>
    <row r="41" spans="1:2" x14ac:dyDescent="0.3">
      <c r="A41" s="5" t="s">
        <v>474</v>
      </c>
      <c r="B41">
        <v>23</v>
      </c>
    </row>
    <row r="42" spans="1:2" x14ac:dyDescent="0.3">
      <c r="A42" s="5" t="s">
        <v>50</v>
      </c>
      <c r="B42">
        <v>23</v>
      </c>
    </row>
    <row r="43" spans="1:2" x14ac:dyDescent="0.3">
      <c r="A43" s="5" t="s">
        <v>147</v>
      </c>
      <c r="B43">
        <v>23</v>
      </c>
    </row>
    <row r="44" spans="1:2" x14ac:dyDescent="0.3">
      <c r="A44" s="5" t="s">
        <v>630</v>
      </c>
      <c r="B44">
        <v>22</v>
      </c>
    </row>
    <row r="45" spans="1:2" x14ac:dyDescent="0.3">
      <c r="A45" s="5" t="s">
        <v>556</v>
      </c>
      <c r="B45">
        <v>21</v>
      </c>
    </row>
    <row r="46" spans="1:2" x14ac:dyDescent="0.3">
      <c r="A46" s="5" t="s">
        <v>235</v>
      </c>
      <c r="B46">
        <v>21</v>
      </c>
    </row>
    <row r="47" spans="1:2" x14ac:dyDescent="0.3">
      <c r="A47" s="5" t="s">
        <v>466</v>
      </c>
      <c r="B47">
        <v>21</v>
      </c>
    </row>
    <row r="48" spans="1:2" x14ac:dyDescent="0.3">
      <c r="A48" s="5" t="s">
        <v>138</v>
      </c>
      <c r="B48">
        <v>19</v>
      </c>
    </row>
    <row r="49" spans="1:2" x14ac:dyDescent="0.3">
      <c r="A49" s="5" t="s">
        <v>646</v>
      </c>
      <c r="B49">
        <v>19</v>
      </c>
    </row>
    <row r="50" spans="1:2" x14ac:dyDescent="0.3">
      <c r="A50" s="5" t="s">
        <v>731</v>
      </c>
      <c r="B50">
        <v>19</v>
      </c>
    </row>
    <row r="51" spans="1:2" x14ac:dyDescent="0.3">
      <c r="A51" s="5" t="s">
        <v>864</v>
      </c>
      <c r="B51">
        <v>17</v>
      </c>
    </row>
    <row r="52" spans="1:2" x14ac:dyDescent="0.3">
      <c r="A52" s="5" t="s">
        <v>218</v>
      </c>
      <c r="B52">
        <v>17</v>
      </c>
    </row>
    <row r="53" spans="1:2" x14ac:dyDescent="0.3">
      <c r="A53" s="5" t="s">
        <v>98</v>
      </c>
      <c r="B53">
        <v>14</v>
      </c>
    </row>
    <row r="54" spans="1:2" x14ac:dyDescent="0.3">
      <c r="A54" s="5" t="s">
        <v>2051</v>
      </c>
      <c r="B54">
        <v>1445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F5233-6623-4EDE-A41C-58F252B76B53}">
  <dimension ref="A3:B54"/>
  <sheetViews>
    <sheetView topLeftCell="A4" zoomScale="94" workbookViewId="0">
      <selection activeCell="B14" sqref="B14"/>
    </sheetView>
  </sheetViews>
  <sheetFormatPr defaultRowHeight="14.4" x14ac:dyDescent="0.3"/>
  <cols>
    <col min="1" max="2" width="12.5546875" bestFit="1" customWidth="1"/>
  </cols>
  <sheetData>
    <row r="3" spans="1:2" x14ac:dyDescent="0.3">
      <c r="A3" s="4" t="s">
        <v>2050</v>
      </c>
      <c r="B3" t="s">
        <v>2054</v>
      </c>
    </row>
    <row r="4" spans="1:2" x14ac:dyDescent="0.3">
      <c r="A4" s="5" t="s">
        <v>316</v>
      </c>
      <c r="B4">
        <v>21038.159999999996</v>
      </c>
    </row>
    <row r="5" spans="1:2" x14ac:dyDescent="0.3">
      <c r="A5" s="5" t="s">
        <v>88</v>
      </c>
      <c r="B5">
        <v>18290.719999999998</v>
      </c>
    </row>
    <row r="6" spans="1:2" x14ac:dyDescent="0.3">
      <c r="A6" s="5" t="s">
        <v>349</v>
      </c>
      <c r="B6">
        <v>17400.060000000001</v>
      </c>
    </row>
    <row r="7" spans="1:2" x14ac:dyDescent="0.3">
      <c r="A7" s="5" t="s">
        <v>546</v>
      </c>
      <c r="B7">
        <v>16870.420000000002</v>
      </c>
    </row>
    <row r="8" spans="1:2" x14ac:dyDescent="0.3">
      <c r="A8" s="5" t="s">
        <v>488</v>
      </c>
      <c r="B8">
        <v>16207.9</v>
      </c>
    </row>
    <row r="9" spans="1:2" x14ac:dyDescent="0.3">
      <c r="A9" s="5" t="s">
        <v>583</v>
      </c>
      <c r="B9">
        <v>13893.989999999998</v>
      </c>
    </row>
    <row r="10" spans="1:2" x14ac:dyDescent="0.3">
      <c r="A10" s="5" t="s">
        <v>337</v>
      </c>
      <c r="B10">
        <v>13743.700000000004</v>
      </c>
    </row>
    <row r="11" spans="1:2" x14ac:dyDescent="0.3">
      <c r="A11" s="5" t="s">
        <v>376</v>
      </c>
      <c r="B11">
        <v>13395.199999999999</v>
      </c>
    </row>
    <row r="12" spans="1:2" x14ac:dyDescent="0.3">
      <c r="A12" s="5" t="s">
        <v>566</v>
      </c>
      <c r="B12">
        <v>13325.04</v>
      </c>
    </row>
    <row r="13" spans="1:2" x14ac:dyDescent="0.3">
      <c r="A13" s="5" t="s">
        <v>511</v>
      </c>
      <c r="B13">
        <v>13237.869999999997</v>
      </c>
    </row>
    <row r="14" spans="1:2" x14ac:dyDescent="0.3">
      <c r="A14" s="5" t="s">
        <v>423</v>
      </c>
      <c r="B14">
        <v>12010.93</v>
      </c>
    </row>
    <row r="15" spans="1:2" x14ac:dyDescent="0.3">
      <c r="A15" s="5" t="s">
        <v>74</v>
      </c>
      <c r="B15">
        <v>11862.74</v>
      </c>
    </row>
    <row r="16" spans="1:2" x14ac:dyDescent="0.3">
      <c r="A16" s="5" t="s">
        <v>166</v>
      </c>
      <c r="B16">
        <v>11731.910000000002</v>
      </c>
    </row>
    <row r="17" spans="1:2" x14ac:dyDescent="0.3">
      <c r="A17" s="5" t="s">
        <v>679</v>
      </c>
      <c r="B17">
        <v>11107.499999999998</v>
      </c>
    </row>
    <row r="18" spans="1:2" x14ac:dyDescent="0.3">
      <c r="A18" s="5" t="s">
        <v>55</v>
      </c>
      <c r="B18">
        <v>10978</v>
      </c>
    </row>
    <row r="19" spans="1:2" x14ac:dyDescent="0.3">
      <c r="A19" s="5" t="s">
        <v>741</v>
      </c>
      <c r="B19">
        <v>10781.71</v>
      </c>
    </row>
    <row r="20" spans="1:2" x14ac:dyDescent="0.3">
      <c r="A20" s="5" t="s">
        <v>630</v>
      </c>
      <c r="B20">
        <v>10246.820000000002</v>
      </c>
    </row>
    <row r="21" spans="1:2" x14ac:dyDescent="0.3">
      <c r="A21" s="5" t="s">
        <v>28</v>
      </c>
      <c r="B21">
        <v>8584.880000000001</v>
      </c>
    </row>
    <row r="22" spans="1:2" x14ac:dyDescent="0.3">
      <c r="A22" s="5" t="s">
        <v>646</v>
      </c>
      <c r="B22">
        <v>8551.7799999999988</v>
      </c>
    </row>
    <row r="23" spans="1:2" x14ac:dyDescent="0.3">
      <c r="A23" s="5" t="s">
        <v>280</v>
      </c>
      <c r="B23">
        <v>8472.7199999999975</v>
      </c>
    </row>
    <row r="24" spans="1:2" x14ac:dyDescent="0.3">
      <c r="A24" s="5" t="s">
        <v>119</v>
      </c>
      <c r="B24">
        <v>8349.8000000000011</v>
      </c>
    </row>
    <row r="25" spans="1:2" x14ac:dyDescent="0.3">
      <c r="A25" s="5" t="s">
        <v>218</v>
      </c>
      <c r="B25">
        <v>8220.19</v>
      </c>
    </row>
    <row r="26" spans="1:2" x14ac:dyDescent="0.3">
      <c r="A26" s="5" t="s">
        <v>650</v>
      </c>
      <c r="B26">
        <v>7494.2700000000013</v>
      </c>
    </row>
    <row r="27" spans="1:2" x14ac:dyDescent="0.3">
      <c r="A27" s="5" t="s">
        <v>239</v>
      </c>
      <c r="B27">
        <v>7192.1200000000008</v>
      </c>
    </row>
    <row r="28" spans="1:2" x14ac:dyDescent="0.3">
      <c r="A28" s="5" t="s">
        <v>466</v>
      </c>
      <c r="B28">
        <v>6316.4699999999993</v>
      </c>
    </row>
    <row r="29" spans="1:2" x14ac:dyDescent="0.3">
      <c r="A29" s="5" t="s">
        <v>934</v>
      </c>
      <c r="B29">
        <v>6169.97</v>
      </c>
    </row>
    <row r="30" spans="1:2" x14ac:dyDescent="0.3">
      <c r="A30" s="5" t="s">
        <v>284</v>
      </c>
      <c r="B30">
        <v>6049.5500000000011</v>
      </c>
    </row>
    <row r="31" spans="1:2" x14ac:dyDescent="0.3">
      <c r="A31" s="5" t="s">
        <v>507</v>
      </c>
      <c r="B31">
        <v>5792.1000000000022</v>
      </c>
    </row>
    <row r="32" spans="1:2" x14ac:dyDescent="0.3">
      <c r="A32" s="5" t="s">
        <v>128</v>
      </c>
      <c r="B32">
        <v>5592.9699999999993</v>
      </c>
    </row>
    <row r="33" spans="1:2" x14ac:dyDescent="0.3">
      <c r="A33" s="5" t="s">
        <v>147</v>
      </c>
      <c r="B33">
        <v>5472.21</v>
      </c>
    </row>
    <row r="34" spans="1:2" x14ac:dyDescent="0.3">
      <c r="A34" s="5" t="s">
        <v>864</v>
      </c>
      <c r="B34">
        <v>5318.5499999999993</v>
      </c>
    </row>
    <row r="35" spans="1:2" x14ac:dyDescent="0.3">
      <c r="A35" s="5" t="s">
        <v>50</v>
      </c>
      <c r="B35">
        <v>5032.4199999999992</v>
      </c>
    </row>
    <row r="36" spans="1:2" x14ac:dyDescent="0.3">
      <c r="A36" s="5" t="s">
        <v>40</v>
      </c>
      <c r="B36">
        <v>4202.4400000000005</v>
      </c>
    </row>
    <row r="37" spans="1:2" x14ac:dyDescent="0.3">
      <c r="A37" s="5" t="s">
        <v>98</v>
      </c>
      <c r="B37">
        <v>4139.16</v>
      </c>
    </row>
    <row r="38" spans="1:2" x14ac:dyDescent="0.3">
      <c r="A38" s="5" t="s">
        <v>138</v>
      </c>
      <c r="B38">
        <v>3983.9</v>
      </c>
    </row>
    <row r="39" spans="1:2" x14ac:dyDescent="0.3">
      <c r="A39" s="5" t="s">
        <v>243</v>
      </c>
      <c r="B39">
        <v>3899.6399999999994</v>
      </c>
    </row>
    <row r="40" spans="1:2" x14ac:dyDescent="0.3">
      <c r="A40" s="5" t="s">
        <v>301</v>
      </c>
      <c r="B40">
        <v>3778.75</v>
      </c>
    </row>
    <row r="41" spans="1:2" x14ac:dyDescent="0.3">
      <c r="A41" s="5" t="s">
        <v>175</v>
      </c>
      <c r="B41">
        <v>3618.2200000000003</v>
      </c>
    </row>
    <row r="42" spans="1:2" x14ac:dyDescent="0.3">
      <c r="A42" s="5" t="s">
        <v>227</v>
      </c>
      <c r="B42">
        <v>3503.3099999999995</v>
      </c>
    </row>
    <row r="43" spans="1:2" x14ac:dyDescent="0.3">
      <c r="A43" s="5" t="s">
        <v>263</v>
      </c>
      <c r="B43">
        <v>3478.4800000000014</v>
      </c>
    </row>
    <row r="44" spans="1:2" x14ac:dyDescent="0.3">
      <c r="A44" s="5" t="s">
        <v>556</v>
      </c>
      <c r="B44">
        <v>3272.0199999999995</v>
      </c>
    </row>
    <row r="45" spans="1:2" x14ac:dyDescent="0.3">
      <c r="A45" s="5" t="s">
        <v>235</v>
      </c>
      <c r="B45">
        <v>3110.9900000000002</v>
      </c>
    </row>
    <row r="46" spans="1:2" x14ac:dyDescent="0.3">
      <c r="A46" s="5" t="s">
        <v>731</v>
      </c>
      <c r="B46">
        <v>2446.0500000000002</v>
      </c>
    </row>
    <row r="47" spans="1:2" x14ac:dyDescent="0.3">
      <c r="A47" s="5" t="s">
        <v>474</v>
      </c>
      <c r="B47">
        <v>2397.0700000000006</v>
      </c>
    </row>
    <row r="48" spans="1:2" x14ac:dyDescent="0.3">
      <c r="A48" s="5" t="s">
        <v>333</v>
      </c>
      <c r="B48">
        <v>2237</v>
      </c>
    </row>
    <row r="49" spans="1:2" x14ac:dyDescent="0.3">
      <c r="A49" s="5" t="s">
        <v>107</v>
      </c>
      <c r="B49">
        <v>2011.6000000000001</v>
      </c>
    </row>
    <row r="50" spans="1:2" x14ac:dyDescent="0.3">
      <c r="A50" s="5" t="s">
        <v>977</v>
      </c>
      <c r="B50">
        <v>1738.19</v>
      </c>
    </row>
    <row r="51" spans="1:2" x14ac:dyDescent="0.3">
      <c r="A51" s="5" t="s">
        <v>411</v>
      </c>
      <c r="B51">
        <v>1605.5</v>
      </c>
    </row>
    <row r="52" spans="1:2" x14ac:dyDescent="0.3">
      <c r="A52" s="5" t="s">
        <v>192</v>
      </c>
      <c r="B52">
        <v>1356.5000000000002</v>
      </c>
    </row>
    <row r="53" spans="1:2" x14ac:dyDescent="0.3">
      <c r="A53" s="5" t="s">
        <v>767</v>
      </c>
      <c r="B53">
        <v>901</v>
      </c>
    </row>
    <row r="54" spans="1:2" x14ac:dyDescent="0.3">
      <c r="A54" s="5" t="s">
        <v>2051</v>
      </c>
      <c r="B54">
        <v>390412.48999999941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9F12B-024D-4D7F-95FC-990DC4B21737}">
  <dimension ref="A3:B14"/>
  <sheetViews>
    <sheetView topLeftCell="B2" zoomScale="111" workbookViewId="0">
      <selection activeCell="A4" sqref="A4:B4"/>
      <pivotSelection pane="bottomRight" showHeader="1" extendable="1" axis="axisRow" max="11" activeRow="3" previousRow="3" click="1" r:id="rId1">
        <pivotArea dataOnly="0" fieldPosition="0">
          <references count="1">
            <reference field="3" count="1">
              <x v="47"/>
            </reference>
          </references>
        </pivotArea>
      </pivotSelection>
    </sheetView>
  </sheetViews>
  <sheetFormatPr defaultRowHeight="14.4" x14ac:dyDescent="0.3"/>
  <cols>
    <col min="1" max="1" width="13.21875" bestFit="1" customWidth="1"/>
    <col min="2" max="2" width="34.33203125" bestFit="1" customWidth="1"/>
  </cols>
  <sheetData>
    <row r="3" spans="1:2" x14ac:dyDescent="0.3">
      <c r="A3" s="4" t="s">
        <v>2050</v>
      </c>
      <c r="B3" t="s">
        <v>2075</v>
      </c>
    </row>
    <row r="4" spans="1:2" x14ac:dyDescent="0.3">
      <c r="A4" s="5" t="s">
        <v>2068</v>
      </c>
      <c r="B4">
        <v>1879.8210999999999</v>
      </c>
    </row>
    <row r="5" spans="1:2" x14ac:dyDescent="0.3">
      <c r="A5" s="5" t="s">
        <v>2065</v>
      </c>
      <c r="B5">
        <v>1488.0636999999997</v>
      </c>
    </row>
    <row r="6" spans="1:2" x14ac:dyDescent="0.3">
      <c r="A6" s="5" t="s">
        <v>2066</v>
      </c>
      <c r="B6">
        <v>1383.0027999999998</v>
      </c>
    </row>
    <row r="7" spans="1:2" x14ac:dyDescent="0.3">
      <c r="A7" s="5" t="s">
        <v>2070</v>
      </c>
      <c r="B7">
        <v>1285.6717000000001</v>
      </c>
    </row>
    <row r="8" spans="1:2" x14ac:dyDescent="0.3">
      <c r="A8" s="5" t="s">
        <v>2072</v>
      </c>
      <c r="B8">
        <v>1280.5413000000001</v>
      </c>
    </row>
    <row r="9" spans="1:2" x14ac:dyDescent="0.3">
      <c r="A9" s="5" t="s">
        <v>2069</v>
      </c>
      <c r="B9">
        <v>1245.6702</v>
      </c>
    </row>
    <row r="10" spans="1:2" x14ac:dyDescent="0.3">
      <c r="A10" s="5" t="s">
        <v>2071</v>
      </c>
      <c r="B10">
        <v>1238.6359000000002</v>
      </c>
    </row>
    <row r="11" spans="1:2" x14ac:dyDescent="0.3">
      <c r="A11" s="5" t="s">
        <v>2067</v>
      </c>
      <c r="B11">
        <v>1196.0308</v>
      </c>
    </row>
    <row r="12" spans="1:2" x14ac:dyDescent="0.3">
      <c r="A12" s="5" t="s">
        <v>2073</v>
      </c>
      <c r="B12">
        <v>1101.6562000000001</v>
      </c>
    </row>
    <row r="13" spans="1:2" x14ac:dyDescent="0.3">
      <c r="A13" s="5" t="s">
        <v>2074</v>
      </c>
      <c r="B13">
        <v>1078.0415</v>
      </c>
    </row>
    <row r="14" spans="1:2" x14ac:dyDescent="0.3">
      <c r="A14" s="5" t="s">
        <v>2051</v>
      </c>
      <c r="B14">
        <v>13177.135199999999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44A10-D236-4138-BD5B-FA03DE97E635}">
  <dimension ref="A3:B11"/>
  <sheetViews>
    <sheetView workbookViewId="0">
      <selection activeCell="O15" sqref="O15"/>
    </sheetView>
  </sheetViews>
  <sheetFormatPr defaultRowHeight="14.4" x14ac:dyDescent="0.3"/>
  <cols>
    <col min="1" max="1" width="12.5546875" bestFit="1" customWidth="1"/>
    <col min="2" max="2" width="18.44140625" bestFit="1" customWidth="1"/>
  </cols>
  <sheetData>
    <row r="3" spans="1:2" x14ac:dyDescent="0.3">
      <c r="A3" s="4" t="s">
        <v>2050</v>
      </c>
      <c r="B3" t="s">
        <v>2076</v>
      </c>
    </row>
    <row r="4" spans="1:2" x14ac:dyDescent="0.3">
      <c r="A4" s="5" t="s">
        <v>280</v>
      </c>
      <c r="B4">
        <v>17</v>
      </c>
    </row>
    <row r="5" spans="1:2" x14ac:dyDescent="0.3">
      <c r="A5" s="5" t="s">
        <v>88</v>
      </c>
      <c r="B5">
        <v>16</v>
      </c>
    </row>
    <row r="6" spans="1:2" x14ac:dyDescent="0.3">
      <c r="A6" s="5" t="s">
        <v>507</v>
      </c>
      <c r="B6">
        <v>15</v>
      </c>
    </row>
    <row r="7" spans="1:2" x14ac:dyDescent="0.3">
      <c r="A7" s="5" t="s">
        <v>316</v>
      </c>
      <c r="B7">
        <v>15</v>
      </c>
    </row>
    <row r="8" spans="1:2" x14ac:dyDescent="0.3">
      <c r="A8" s="5" t="s">
        <v>263</v>
      </c>
      <c r="B8">
        <v>15</v>
      </c>
    </row>
    <row r="9" spans="1:2" x14ac:dyDescent="0.3">
      <c r="A9" s="5" t="s">
        <v>337</v>
      </c>
      <c r="B9">
        <v>14</v>
      </c>
    </row>
    <row r="10" spans="1:2" x14ac:dyDescent="0.3">
      <c r="A10" s="5" t="s">
        <v>934</v>
      </c>
      <c r="B10">
        <v>14</v>
      </c>
    </row>
    <row r="11" spans="1:2" x14ac:dyDescent="0.3">
      <c r="A11" s="5" t="s">
        <v>2051</v>
      </c>
      <c r="B11">
        <v>106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45F7B-B18A-409E-87BC-C168BB40C039}">
  <dimension ref="A3:B12"/>
  <sheetViews>
    <sheetView zoomScale="116" workbookViewId="0">
      <selection activeCell="B4" sqref="B4"/>
    </sheetView>
  </sheetViews>
  <sheetFormatPr defaultRowHeight="14.4" x14ac:dyDescent="0.3"/>
  <cols>
    <col min="1" max="1" width="12.5546875" bestFit="1" customWidth="1"/>
    <col min="2" max="2" width="16.44140625" bestFit="1" customWidth="1"/>
  </cols>
  <sheetData>
    <row r="3" spans="1:2" x14ac:dyDescent="0.3">
      <c r="A3" s="4" t="s">
        <v>2050</v>
      </c>
      <c r="B3" t="s">
        <v>2077</v>
      </c>
    </row>
    <row r="4" spans="1:2" x14ac:dyDescent="0.3">
      <c r="A4" s="5" t="s">
        <v>35</v>
      </c>
      <c r="B4">
        <v>80</v>
      </c>
    </row>
    <row r="5" spans="1:2" x14ac:dyDescent="0.3">
      <c r="A5" s="5" t="s">
        <v>161</v>
      </c>
      <c r="B5">
        <v>72</v>
      </c>
    </row>
    <row r="6" spans="1:2" x14ac:dyDescent="0.3">
      <c r="A6" s="5" t="s">
        <v>83</v>
      </c>
      <c r="B6">
        <v>72</v>
      </c>
    </row>
    <row r="7" spans="1:2" x14ac:dyDescent="0.3">
      <c r="A7" s="5" t="s">
        <v>23</v>
      </c>
      <c r="B7">
        <v>66</v>
      </c>
    </row>
    <row r="8" spans="1:2" x14ac:dyDescent="0.3">
      <c r="A8" s="5" t="s">
        <v>213</v>
      </c>
      <c r="B8">
        <v>64</v>
      </c>
    </row>
    <row r="9" spans="1:2" x14ac:dyDescent="0.3">
      <c r="A9" s="5" t="s">
        <v>152</v>
      </c>
      <c r="B9">
        <v>51</v>
      </c>
    </row>
    <row r="10" spans="1:2" x14ac:dyDescent="0.3">
      <c r="A10" s="5" t="s">
        <v>69</v>
      </c>
      <c r="B10">
        <v>51</v>
      </c>
    </row>
    <row r="11" spans="1:2" x14ac:dyDescent="0.3">
      <c r="A11" s="5" t="s">
        <v>133</v>
      </c>
      <c r="B11">
        <v>44</v>
      </c>
    </row>
    <row r="12" spans="1:2" x14ac:dyDescent="0.3">
      <c r="A12" s="5" t="s">
        <v>2051</v>
      </c>
      <c r="B12">
        <v>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97428-D151-4574-9E63-01F2C86E890E}">
  <dimension ref="A3:B12"/>
  <sheetViews>
    <sheetView workbookViewId="0">
      <selection activeCell="G22" sqref="G22"/>
    </sheetView>
  </sheetViews>
  <sheetFormatPr defaultRowHeight="14.4" x14ac:dyDescent="0.3"/>
  <cols>
    <col min="1" max="1" width="12.5546875" bestFit="1" customWidth="1"/>
    <col min="2" max="2" width="34.33203125" bestFit="1" customWidth="1"/>
  </cols>
  <sheetData>
    <row r="3" spans="1:2" x14ac:dyDescent="0.3">
      <c r="A3" s="4" t="s">
        <v>2050</v>
      </c>
      <c r="B3" t="s">
        <v>2075</v>
      </c>
    </row>
    <row r="4" spans="1:2" x14ac:dyDescent="0.3">
      <c r="A4" s="5" t="s">
        <v>35</v>
      </c>
      <c r="B4">
        <v>10052.2196</v>
      </c>
    </row>
    <row r="5" spans="1:2" x14ac:dyDescent="0.3">
      <c r="A5" s="5" t="s">
        <v>161</v>
      </c>
      <c r="B5">
        <v>9022.9591999999975</v>
      </c>
    </row>
    <row r="6" spans="1:2" x14ac:dyDescent="0.3">
      <c r="A6" s="5" t="s">
        <v>23</v>
      </c>
      <c r="B6">
        <v>7817.0542000000041</v>
      </c>
    </row>
    <row r="7" spans="1:2" x14ac:dyDescent="0.3">
      <c r="A7" s="5" t="s">
        <v>83</v>
      </c>
      <c r="B7">
        <v>7778.0241000000015</v>
      </c>
    </row>
    <row r="8" spans="1:2" x14ac:dyDescent="0.3">
      <c r="A8" s="5" t="s">
        <v>213</v>
      </c>
      <c r="B8">
        <v>7729.502999999997</v>
      </c>
    </row>
    <row r="9" spans="1:2" x14ac:dyDescent="0.3">
      <c r="A9" s="5" t="s">
        <v>69</v>
      </c>
      <c r="B9">
        <v>6285.9825000000001</v>
      </c>
    </row>
    <row r="10" spans="1:2" x14ac:dyDescent="0.3">
      <c r="A10" s="5" t="s">
        <v>152</v>
      </c>
      <c r="B10">
        <v>5441.7730000000029</v>
      </c>
    </row>
    <row r="11" spans="1:2" x14ac:dyDescent="0.3">
      <c r="A11" s="5" t="s">
        <v>133</v>
      </c>
      <c r="B11">
        <v>4700.2147000000014</v>
      </c>
    </row>
    <row r="12" spans="1:2" x14ac:dyDescent="0.3">
      <c r="A12" s="5" t="s">
        <v>2051</v>
      </c>
      <c r="B12">
        <v>58827.73030000001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2B232-930D-405C-BED8-90F62BB518A7}">
  <dimension ref="A3:B9"/>
  <sheetViews>
    <sheetView zoomScale="155" workbookViewId="0">
      <selection activeCell="B6" sqref="B6"/>
    </sheetView>
  </sheetViews>
  <sheetFormatPr defaultRowHeight="14.4" x14ac:dyDescent="0.3"/>
  <cols>
    <col min="1" max="1" width="12.5546875" bestFit="1" customWidth="1"/>
    <col min="2" max="2" width="21" bestFit="1" customWidth="1"/>
  </cols>
  <sheetData>
    <row r="3" spans="1:2" x14ac:dyDescent="0.3">
      <c r="A3" s="4" t="s">
        <v>2050</v>
      </c>
      <c r="B3" t="s">
        <v>2078</v>
      </c>
    </row>
    <row r="4" spans="1:2" x14ac:dyDescent="0.3">
      <c r="A4" s="5" t="s">
        <v>29</v>
      </c>
      <c r="B4">
        <v>111</v>
      </c>
    </row>
    <row r="5" spans="1:2" x14ac:dyDescent="0.3">
      <c r="A5" s="5" t="s">
        <v>78</v>
      </c>
      <c r="B5">
        <v>104</v>
      </c>
    </row>
    <row r="6" spans="1:2" x14ac:dyDescent="0.3">
      <c r="A6" s="5" t="s">
        <v>56</v>
      </c>
      <c r="B6">
        <v>102</v>
      </c>
    </row>
    <row r="7" spans="1:2" x14ac:dyDescent="0.3">
      <c r="A7" s="5" t="s">
        <v>89</v>
      </c>
      <c r="B7">
        <v>100</v>
      </c>
    </row>
    <row r="8" spans="1:2" x14ac:dyDescent="0.3">
      <c r="A8" s="5" t="s">
        <v>51</v>
      </c>
      <c r="B8">
        <v>83</v>
      </c>
    </row>
    <row r="9" spans="1:2" x14ac:dyDescent="0.3">
      <c r="A9" s="5" t="s">
        <v>2051</v>
      </c>
      <c r="B9">
        <v>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A9C48-72F4-4D01-A265-F38555806484}">
  <dimension ref="A3:E17"/>
  <sheetViews>
    <sheetView tabSelected="1" topLeftCell="A3" zoomScale="114" workbookViewId="0">
      <selection activeCell="A5" sqref="A5"/>
    </sheetView>
  </sheetViews>
  <sheetFormatPr defaultRowHeight="14.4" x14ac:dyDescent="0.3"/>
  <cols>
    <col min="1" max="1" width="34.33203125" bestFit="1" customWidth="1"/>
    <col min="2" max="2" width="15.5546875" bestFit="1" customWidth="1"/>
    <col min="3" max="5" width="11" bestFit="1" customWidth="1"/>
  </cols>
  <sheetData>
    <row r="3" spans="1:5" x14ac:dyDescent="0.3">
      <c r="A3" s="4" t="s">
        <v>2075</v>
      </c>
      <c r="B3" s="4" t="s">
        <v>2092</v>
      </c>
    </row>
    <row r="4" spans="1:5" x14ac:dyDescent="0.3">
      <c r="A4" s="4" t="s">
        <v>2050</v>
      </c>
      <c r="B4" t="s">
        <v>34</v>
      </c>
      <c r="C4" t="s">
        <v>22</v>
      </c>
      <c r="D4" t="s">
        <v>45</v>
      </c>
      <c r="E4" t="s">
        <v>2051</v>
      </c>
    </row>
    <row r="5" spans="1:5" x14ac:dyDescent="0.3">
      <c r="A5" s="5" t="s">
        <v>2080</v>
      </c>
      <c r="B5">
        <v>1818.8011999999994</v>
      </c>
      <c r="C5">
        <v>1390.0519000000002</v>
      </c>
      <c r="D5">
        <v>3014.5928000000004</v>
      </c>
      <c r="E5">
        <v>6223.4458999999997</v>
      </c>
    </row>
    <row r="6" spans="1:5" x14ac:dyDescent="0.3">
      <c r="A6" s="5" t="s">
        <v>2081</v>
      </c>
      <c r="B6">
        <v>1368.2617</v>
      </c>
      <c r="C6">
        <v>1408.6180000000002</v>
      </c>
      <c r="D6">
        <v>1389.2859000000003</v>
      </c>
      <c r="E6">
        <v>4166.1656000000003</v>
      </c>
    </row>
    <row r="7" spans="1:5" x14ac:dyDescent="0.3">
      <c r="A7" s="5" t="s">
        <v>2082</v>
      </c>
      <c r="B7">
        <v>1518.3653999999999</v>
      </c>
      <c r="C7">
        <v>1301.0920000000001</v>
      </c>
      <c r="D7">
        <v>1639.6911</v>
      </c>
      <c r="E7">
        <v>4459.1485000000002</v>
      </c>
    </row>
    <row r="8" spans="1:5" x14ac:dyDescent="0.3">
      <c r="A8" s="5" t="s">
        <v>2083</v>
      </c>
      <c r="B8">
        <v>2281.5382999999997</v>
      </c>
      <c r="C8">
        <v>1745.7826</v>
      </c>
      <c r="D8">
        <v>2383.6727000000001</v>
      </c>
      <c r="E8">
        <v>6410.9935999999998</v>
      </c>
    </row>
    <row r="9" spans="1:5" x14ac:dyDescent="0.3">
      <c r="A9" s="5" t="s">
        <v>2084</v>
      </c>
      <c r="B9">
        <v>782.755</v>
      </c>
      <c r="C9">
        <v>1295.6402000000003</v>
      </c>
      <c r="D9">
        <v>1385.14</v>
      </c>
      <c r="E9">
        <v>3463.5352000000003</v>
      </c>
    </row>
    <row r="10" spans="1:5" x14ac:dyDescent="0.3">
      <c r="A10" s="5" t="s">
        <v>2085</v>
      </c>
      <c r="B10">
        <v>1233.9175</v>
      </c>
      <c r="C10">
        <v>1901.0074000000002</v>
      </c>
      <c r="D10">
        <v>1555.2862</v>
      </c>
      <c r="E10">
        <v>4690.2111000000004</v>
      </c>
    </row>
    <row r="11" spans="1:5" x14ac:dyDescent="0.3">
      <c r="A11" s="5" t="s">
        <v>2086</v>
      </c>
      <c r="B11">
        <v>1070.1256000000001</v>
      </c>
      <c r="C11">
        <v>1945.4829</v>
      </c>
      <c r="D11">
        <v>2405.3753000000002</v>
      </c>
      <c r="E11">
        <v>5420.9838</v>
      </c>
    </row>
    <row r="12" spans="1:5" x14ac:dyDescent="0.3">
      <c r="A12" s="5" t="s">
        <v>2087</v>
      </c>
      <c r="B12">
        <v>2125.9032999999999</v>
      </c>
      <c r="C12">
        <v>1453.9329000000002</v>
      </c>
      <c r="D12">
        <v>1525.4977999999999</v>
      </c>
      <c r="E12">
        <v>5105.3339999999998</v>
      </c>
    </row>
    <row r="13" spans="1:5" x14ac:dyDescent="0.3">
      <c r="A13" s="5" t="s">
        <v>2088</v>
      </c>
      <c r="B13">
        <v>1516.1833000000001</v>
      </c>
      <c r="C13">
        <v>2105.0663</v>
      </c>
      <c r="D13">
        <v>2403.0837999999999</v>
      </c>
      <c r="E13">
        <v>6024.3333999999995</v>
      </c>
    </row>
    <row r="14" spans="1:5" x14ac:dyDescent="0.3">
      <c r="A14" s="5" t="s">
        <v>2089</v>
      </c>
      <c r="B14">
        <v>1416.9901</v>
      </c>
      <c r="C14">
        <v>2120.8355000000001</v>
      </c>
      <c r="D14">
        <v>1119.7098000000001</v>
      </c>
      <c r="E14">
        <v>4657.5354000000007</v>
      </c>
    </row>
    <row r="15" spans="1:5" x14ac:dyDescent="0.3">
      <c r="A15" s="5" t="s">
        <v>2090</v>
      </c>
      <c r="B15">
        <v>553.79240000000004</v>
      </c>
      <c r="C15">
        <v>536.65</v>
      </c>
      <c r="D15">
        <v>2383.5383999999999</v>
      </c>
      <c r="E15">
        <v>3473.9807999999998</v>
      </c>
    </row>
    <row r="16" spans="1:5" x14ac:dyDescent="0.3">
      <c r="A16" s="5" t="s">
        <v>2091</v>
      </c>
      <c r="B16">
        <v>1196.1784</v>
      </c>
      <c r="C16">
        <v>1118.7489</v>
      </c>
      <c r="D16">
        <v>2417.1356999999998</v>
      </c>
      <c r="E16">
        <v>4732.0630000000001</v>
      </c>
    </row>
    <row r="17" spans="1:5" x14ac:dyDescent="0.3">
      <c r="A17" s="5" t="s">
        <v>2051</v>
      </c>
      <c r="B17">
        <v>16882.8122</v>
      </c>
      <c r="C17">
        <v>18322.908599999999</v>
      </c>
      <c r="D17">
        <v>23622.0095</v>
      </c>
      <c r="E17">
        <v>58827.730300000003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topLeftCell="I1" zoomScale="82" workbookViewId="0">
      <selection activeCell="R16" sqref="R16"/>
    </sheetView>
  </sheetViews>
  <sheetFormatPr defaultColWidth="14.44140625" defaultRowHeight="15" customHeight="1" x14ac:dyDescent="0.3"/>
  <cols>
    <col min="1" max="1" width="15.109375" customWidth="1"/>
    <col min="2" max="2" width="14.5546875" customWidth="1"/>
    <col min="3" max="4" width="14.88671875" customWidth="1"/>
    <col min="5" max="5" width="8.6640625" customWidth="1"/>
    <col min="6" max="6" width="10.33203125" customWidth="1"/>
    <col min="7" max="7" width="8.6640625" customWidth="1"/>
    <col min="8" max="8" width="31.33203125" customWidth="1"/>
    <col min="9" max="9" width="53.44140625" customWidth="1"/>
    <col min="10" max="10" width="10.88671875" customWidth="1"/>
    <col min="11" max="12" width="15.6640625" customWidth="1"/>
    <col min="13" max="13" width="15.5546875" customWidth="1"/>
    <col min="14" max="14" width="14.33203125" customWidth="1"/>
    <col min="15" max="15" width="8.6640625" customWidth="1"/>
    <col min="16" max="17" width="16.109375" customWidth="1"/>
    <col min="18" max="20" width="18.5546875" customWidth="1"/>
    <col min="21" max="22" width="28.33203125" customWidth="1"/>
    <col min="23" max="23" width="18" customWidth="1"/>
    <col min="24" max="24" width="16.44140625" customWidth="1"/>
    <col min="25" max="25" width="18.5546875" customWidth="1"/>
    <col min="26" max="29" width="8.6640625" customWidth="1"/>
    <col min="30" max="30" width="8.6640625" style="8" customWidth="1"/>
    <col min="31" max="33" width="8.6640625" customWidth="1"/>
  </cols>
  <sheetData>
    <row r="1" spans="1:32" ht="14.25" customHeight="1" x14ac:dyDescent="0.3">
      <c r="A1" s="3" t="s">
        <v>0</v>
      </c>
      <c r="B1" s="3" t="s">
        <v>1</v>
      </c>
      <c r="C1" s="3" t="s">
        <v>2</v>
      </c>
      <c r="D1" s="3" t="s">
        <v>2063</v>
      </c>
      <c r="E1" s="3" t="s">
        <v>3</v>
      </c>
      <c r="F1" s="3" t="s">
        <v>4</v>
      </c>
      <c r="G1" s="3" t="s">
        <v>5</v>
      </c>
      <c r="H1" s="3" t="s">
        <v>6</v>
      </c>
      <c r="I1" s="3" t="s">
        <v>7</v>
      </c>
      <c r="J1" s="3" t="s">
        <v>8</v>
      </c>
      <c r="K1" s="3" t="s">
        <v>9</v>
      </c>
      <c r="L1" s="3" t="s">
        <v>2079</v>
      </c>
      <c r="M1" s="3" t="s">
        <v>10</v>
      </c>
      <c r="N1" s="3" t="s">
        <v>11</v>
      </c>
      <c r="O1" s="3" t="s">
        <v>12</v>
      </c>
      <c r="P1" s="3" t="s">
        <v>13</v>
      </c>
      <c r="Q1" s="3" t="s">
        <v>2049</v>
      </c>
      <c r="R1" s="3" t="s">
        <v>14</v>
      </c>
      <c r="S1" s="3" t="s">
        <v>2055</v>
      </c>
      <c r="T1" s="3" t="s">
        <v>2056</v>
      </c>
      <c r="U1" s="3" t="s">
        <v>15</v>
      </c>
      <c r="V1" s="3" t="s">
        <v>2057</v>
      </c>
      <c r="W1" s="3" t="s">
        <v>16</v>
      </c>
      <c r="X1" s="3" t="s">
        <v>17</v>
      </c>
      <c r="Y1" s="3" t="s">
        <v>18</v>
      </c>
      <c r="Z1" s="3" t="s">
        <v>2053</v>
      </c>
      <c r="AA1" s="3" t="s">
        <v>2058</v>
      </c>
      <c r="AB1" s="3" t="s">
        <v>2064</v>
      </c>
      <c r="AC1" s="3" t="s">
        <v>2059</v>
      </c>
      <c r="AD1" s="6" t="s">
        <v>2060</v>
      </c>
      <c r="AE1" s="3" t="s">
        <v>2061</v>
      </c>
      <c r="AF1" s="3" t="s">
        <v>2062</v>
      </c>
    </row>
    <row r="2" spans="1:32" ht="14.25" customHeight="1" x14ac:dyDescent="0.3">
      <c r="A2" s="1" t="s">
        <v>709</v>
      </c>
      <c r="B2" s="1" t="s">
        <v>710</v>
      </c>
      <c r="C2" s="1" t="s">
        <v>711</v>
      </c>
      <c r="D2" s="1" t="str">
        <f t="shared" ref="D2:D65" si="0">_xlfn.CONCAT(B2," ",C2)</f>
        <v>Bruce Allen</v>
      </c>
      <c r="E2" s="1">
        <v>32</v>
      </c>
      <c r="F2" s="1" t="s">
        <v>34</v>
      </c>
      <c r="G2" s="1" t="s">
        <v>23</v>
      </c>
      <c r="H2" s="1" t="s">
        <v>712</v>
      </c>
      <c r="I2" s="1" t="s">
        <v>713</v>
      </c>
      <c r="J2" s="1" t="s">
        <v>714</v>
      </c>
      <c r="K2" s="2">
        <v>45021</v>
      </c>
      <c r="L2" s="2" t="str">
        <f t="shared" ref="L2:L65" si="1">TEXT(K2,"mmmm")</f>
        <v>April</v>
      </c>
      <c r="M2" s="1" t="s">
        <v>715</v>
      </c>
      <c r="N2" s="1" t="s">
        <v>349</v>
      </c>
      <c r="O2" s="1">
        <v>496.59</v>
      </c>
      <c r="P2" s="1">
        <v>5</v>
      </c>
      <c r="Q2" s="1">
        <f t="shared" ref="Q2:Q65" si="2">O2*P2</f>
        <v>2482.9499999999998</v>
      </c>
      <c r="R2" s="1" t="s">
        <v>78</v>
      </c>
      <c r="S2" s="1" cm="1">
        <f t="array" ref="S2">IF(R2="FLAT8",Q6M2*P2*8%,IF(R2="FLAT10",O2*P2*10%,IF(R2="FLAT15",O2*P2*15%,IF(R2="FLAT20",O2*P2*20%,0))))</f>
        <v>496.59</v>
      </c>
      <c r="T2" s="1">
        <f>Q2-S2</f>
        <v>1986.36</v>
      </c>
      <c r="U2" s="1">
        <v>1</v>
      </c>
      <c r="V2" s="1">
        <f>T2+W2</f>
        <v>2026.36</v>
      </c>
      <c r="W2" s="1">
        <v>40</v>
      </c>
      <c r="X2" s="2">
        <v>45025</v>
      </c>
      <c r="Y2" s="1" t="s">
        <v>716</v>
      </c>
      <c r="Z2" s="1">
        <f>(O2*P2)+W2</f>
        <v>2522.9499999999998</v>
      </c>
      <c r="AA2" s="1">
        <f t="shared" ref="AA2:AA65" si="3">X2-K2</f>
        <v>4</v>
      </c>
      <c r="AB2" s="1" t="str">
        <f t="shared" ref="AB2:AB65" si="4">IF(AA2&gt;U2,"Late",IF(AA2=U2,"Intime","BeforeTime"))</f>
        <v>Late</v>
      </c>
      <c r="AC2" s="1">
        <f t="shared" ref="AC2:AC65" si="5">O2*P2</f>
        <v>2482.9499999999998</v>
      </c>
      <c r="AD2" s="7">
        <f t="shared" ref="AD2:AD33" si="6">IF(R2="FLAT8",8%,IF(R2="FLAT10",10%,IF(R2="FLAT15",15%,IF(R2="FLAT20",20%,0))))</f>
        <v>0.2</v>
      </c>
      <c r="AE2" s="1">
        <f t="shared" ref="AE2:AE33" si="7">Q2*AD2</f>
        <v>496.59</v>
      </c>
      <c r="AF2" s="1">
        <f t="shared" ref="AF2:AF65" si="8">IF(R2="DEL0",AE2,AE2+W2)</f>
        <v>536.58999999999992</v>
      </c>
    </row>
    <row r="3" spans="1:32" ht="14.25" customHeight="1" x14ac:dyDescent="0.3">
      <c r="A3" s="1" t="s">
        <v>887</v>
      </c>
      <c r="B3" s="1" t="s">
        <v>141</v>
      </c>
      <c r="C3" s="1" t="s">
        <v>888</v>
      </c>
      <c r="D3" s="1" t="str">
        <f t="shared" si="0"/>
        <v>Amy Griffin</v>
      </c>
      <c r="E3" s="1">
        <v>29</v>
      </c>
      <c r="F3" s="1" t="s">
        <v>22</v>
      </c>
      <c r="G3" s="1" t="s">
        <v>35</v>
      </c>
      <c r="H3" s="1" t="s">
        <v>889</v>
      </c>
      <c r="I3" s="1" t="s">
        <v>890</v>
      </c>
      <c r="J3" s="1" t="s">
        <v>1951</v>
      </c>
      <c r="K3" s="2">
        <v>45423</v>
      </c>
      <c r="L3" s="2" t="str">
        <f t="shared" si="1"/>
        <v>May</v>
      </c>
      <c r="M3" s="1" t="s">
        <v>1952</v>
      </c>
      <c r="N3" s="1" t="s">
        <v>349</v>
      </c>
      <c r="O3" s="1">
        <v>496.59</v>
      </c>
      <c r="P3" s="1">
        <v>5</v>
      </c>
      <c r="Q3" s="1">
        <f t="shared" si="2"/>
        <v>2482.9499999999998</v>
      </c>
      <c r="R3" s="1" t="s">
        <v>29</v>
      </c>
      <c r="S3" s="1">
        <f t="shared" ref="S3:S65" si="9">IF(R3="FLAT8",O3*P3*8%,IF(R3="FLAT10",O3*P3*10%,IF(R3="FLAT15",O3*P3*15%,IF(R3="FLAT20",O3*P3*20%,0))))</f>
        <v>198.636</v>
      </c>
      <c r="T3" s="1">
        <f t="shared" ref="T3:T65" si="10">Q3-S3</f>
        <v>2284.3139999999999</v>
      </c>
      <c r="U3" s="1">
        <v>3</v>
      </c>
      <c r="V3" s="1">
        <f t="shared" ref="V3:V65" si="11">T3+W3</f>
        <v>2345.3139999999999</v>
      </c>
      <c r="W3" s="1">
        <v>61</v>
      </c>
      <c r="X3" s="2">
        <v>45425</v>
      </c>
      <c r="Y3" s="1" t="s">
        <v>1953</v>
      </c>
      <c r="Z3" s="1">
        <f t="shared" ref="Z3:Z65" si="12">(O3*P3)+W3</f>
        <v>2543.9499999999998</v>
      </c>
      <c r="AA3" s="1">
        <f t="shared" si="3"/>
        <v>2</v>
      </c>
      <c r="AB3" s="1" t="str">
        <f t="shared" si="4"/>
        <v>BeforeTime</v>
      </c>
      <c r="AC3" s="1">
        <f t="shared" si="5"/>
        <v>2482.9499999999998</v>
      </c>
      <c r="AD3" s="7">
        <f t="shared" si="6"/>
        <v>0.08</v>
      </c>
      <c r="AE3" s="1">
        <f t="shared" si="7"/>
        <v>198.636</v>
      </c>
      <c r="AF3" s="1">
        <f t="shared" si="8"/>
        <v>259.63599999999997</v>
      </c>
    </row>
    <row r="4" spans="1:32" ht="14.25" customHeight="1" x14ac:dyDescent="0.3">
      <c r="A4" s="1" t="s">
        <v>539</v>
      </c>
      <c r="B4" s="1" t="s">
        <v>540</v>
      </c>
      <c r="C4" s="1" t="s">
        <v>541</v>
      </c>
      <c r="D4" s="1" t="str">
        <f t="shared" si="0"/>
        <v>Jodi Whitney</v>
      </c>
      <c r="E4" s="1">
        <v>33</v>
      </c>
      <c r="F4" s="1" t="s">
        <v>45</v>
      </c>
      <c r="G4" s="1" t="s">
        <v>161</v>
      </c>
      <c r="H4" s="1" t="s">
        <v>542</v>
      </c>
      <c r="I4" s="1" t="s">
        <v>543</v>
      </c>
      <c r="J4" s="1" t="s">
        <v>859</v>
      </c>
      <c r="K4" s="2">
        <v>45609</v>
      </c>
      <c r="L4" s="2" t="str">
        <f t="shared" si="1"/>
        <v>November</v>
      </c>
      <c r="M4" s="1" t="s">
        <v>860</v>
      </c>
      <c r="N4" s="1" t="s">
        <v>316</v>
      </c>
      <c r="O4" s="1">
        <v>481.48</v>
      </c>
      <c r="P4" s="1">
        <v>5</v>
      </c>
      <c r="Q4" s="1">
        <f t="shared" si="2"/>
        <v>2407.4</v>
      </c>
      <c r="R4" s="1" t="s">
        <v>29</v>
      </c>
      <c r="S4" s="1">
        <f t="shared" si="9"/>
        <v>192.59200000000001</v>
      </c>
      <c r="T4" s="1">
        <f t="shared" si="10"/>
        <v>2214.808</v>
      </c>
      <c r="U4" s="1">
        <v>6</v>
      </c>
      <c r="V4" s="1">
        <f t="shared" si="11"/>
        <v>2258.808</v>
      </c>
      <c r="W4" s="1">
        <v>44</v>
      </c>
      <c r="X4" s="2">
        <v>45612</v>
      </c>
      <c r="Y4" s="1" t="s">
        <v>861</v>
      </c>
      <c r="Z4" s="1">
        <f t="shared" si="12"/>
        <v>2451.4</v>
      </c>
      <c r="AA4" s="1">
        <f t="shared" si="3"/>
        <v>3</v>
      </c>
      <c r="AB4" s="1" t="str">
        <f t="shared" si="4"/>
        <v>BeforeTime</v>
      </c>
      <c r="AC4" s="1">
        <f t="shared" si="5"/>
        <v>2407.4</v>
      </c>
      <c r="AD4" s="7">
        <f t="shared" si="6"/>
        <v>0.08</v>
      </c>
      <c r="AE4" s="1">
        <f t="shared" si="7"/>
        <v>192.59200000000001</v>
      </c>
      <c r="AF4" s="1">
        <f t="shared" si="8"/>
        <v>236.59200000000001</v>
      </c>
    </row>
    <row r="5" spans="1:32" ht="14.25" customHeight="1" x14ac:dyDescent="0.3">
      <c r="A5" s="1" t="s">
        <v>1607</v>
      </c>
      <c r="B5" s="1" t="s">
        <v>266</v>
      </c>
      <c r="C5" s="1" t="s">
        <v>1608</v>
      </c>
      <c r="D5" s="1" t="str">
        <f t="shared" si="0"/>
        <v>Lauren Crane</v>
      </c>
      <c r="E5" s="1">
        <v>62</v>
      </c>
      <c r="F5" s="1" t="s">
        <v>34</v>
      </c>
      <c r="G5" s="1" t="s">
        <v>35</v>
      </c>
      <c r="H5" s="1" t="s">
        <v>1609</v>
      </c>
      <c r="I5" s="1" t="s">
        <v>1610</v>
      </c>
      <c r="J5" s="1" t="s">
        <v>1738</v>
      </c>
      <c r="K5" s="2">
        <v>45517</v>
      </c>
      <c r="L5" s="2" t="str">
        <f t="shared" si="1"/>
        <v>August</v>
      </c>
      <c r="M5" s="1" t="s">
        <v>1739</v>
      </c>
      <c r="N5" s="1" t="s">
        <v>566</v>
      </c>
      <c r="O5" s="1">
        <v>477.52</v>
      </c>
      <c r="P5" s="1">
        <v>5</v>
      </c>
      <c r="Q5" s="1">
        <f t="shared" si="2"/>
        <v>2387.6</v>
      </c>
      <c r="R5" s="1" t="s">
        <v>78</v>
      </c>
      <c r="S5" s="1">
        <f t="shared" si="9"/>
        <v>477.52</v>
      </c>
      <c r="T5" s="1">
        <f t="shared" si="10"/>
        <v>1910.08</v>
      </c>
      <c r="U5" s="1">
        <v>2</v>
      </c>
      <c r="V5" s="1">
        <f t="shared" si="11"/>
        <v>1970.08</v>
      </c>
      <c r="W5" s="1">
        <v>60</v>
      </c>
      <c r="X5" s="2">
        <v>45520</v>
      </c>
      <c r="Y5" s="1" t="s">
        <v>1740</v>
      </c>
      <c r="Z5" s="1">
        <f t="shared" si="12"/>
        <v>2447.6</v>
      </c>
      <c r="AA5" s="1">
        <f t="shared" si="3"/>
        <v>3</v>
      </c>
      <c r="AB5" s="1" t="str">
        <f t="shared" si="4"/>
        <v>Late</v>
      </c>
      <c r="AC5" s="1">
        <f t="shared" si="5"/>
        <v>2387.6</v>
      </c>
      <c r="AD5" s="7">
        <f t="shared" si="6"/>
        <v>0.2</v>
      </c>
      <c r="AE5" s="1">
        <f t="shared" si="7"/>
        <v>477.52</v>
      </c>
      <c r="AF5" s="1">
        <f t="shared" si="8"/>
        <v>537.52</v>
      </c>
    </row>
    <row r="6" spans="1:32" ht="14.25" customHeight="1" x14ac:dyDescent="0.3">
      <c r="A6" s="1" t="s">
        <v>394</v>
      </c>
      <c r="B6" s="1" t="s">
        <v>395</v>
      </c>
      <c r="C6" s="1" t="s">
        <v>396</v>
      </c>
      <c r="D6" s="1" t="str">
        <f t="shared" si="0"/>
        <v>Alexandra Smith</v>
      </c>
      <c r="E6" s="1">
        <v>70</v>
      </c>
      <c r="F6" s="1" t="s">
        <v>22</v>
      </c>
      <c r="G6" s="1" t="s">
        <v>23</v>
      </c>
      <c r="H6" s="1" t="s">
        <v>397</v>
      </c>
      <c r="I6" s="1" t="s">
        <v>398</v>
      </c>
      <c r="J6" s="1" t="s">
        <v>1981</v>
      </c>
      <c r="K6" s="2">
        <v>45392</v>
      </c>
      <c r="L6" s="2" t="str">
        <f t="shared" si="1"/>
        <v>April</v>
      </c>
      <c r="M6" s="1" t="s">
        <v>481</v>
      </c>
      <c r="N6" s="1" t="s">
        <v>566</v>
      </c>
      <c r="O6" s="1">
        <v>477.52</v>
      </c>
      <c r="P6" s="1">
        <v>5</v>
      </c>
      <c r="Q6" s="1">
        <f t="shared" si="2"/>
        <v>2387.6</v>
      </c>
      <c r="R6" s="1" t="s">
        <v>89</v>
      </c>
      <c r="S6" s="1">
        <f t="shared" si="9"/>
        <v>238.76</v>
      </c>
      <c r="T6" s="1">
        <f t="shared" si="10"/>
        <v>2148.84</v>
      </c>
      <c r="U6" s="1">
        <v>7</v>
      </c>
      <c r="V6" s="1">
        <f t="shared" si="11"/>
        <v>2201.84</v>
      </c>
      <c r="W6" s="1">
        <v>53</v>
      </c>
      <c r="X6" s="2">
        <v>45394</v>
      </c>
      <c r="Y6" s="1" t="s">
        <v>1982</v>
      </c>
      <c r="Z6" s="1">
        <f t="shared" si="12"/>
        <v>2440.6</v>
      </c>
      <c r="AA6" s="1">
        <f t="shared" si="3"/>
        <v>2</v>
      </c>
      <c r="AB6" s="1" t="str">
        <f t="shared" si="4"/>
        <v>BeforeTime</v>
      </c>
      <c r="AC6" s="1">
        <f t="shared" si="5"/>
        <v>2387.6</v>
      </c>
      <c r="AD6" s="7">
        <f t="shared" si="6"/>
        <v>0.1</v>
      </c>
      <c r="AE6" s="1">
        <f t="shared" si="7"/>
        <v>238.76</v>
      </c>
      <c r="AF6" s="1">
        <f t="shared" si="8"/>
        <v>291.76</v>
      </c>
    </row>
    <row r="7" spans="1:32" ht="14.25" customHeight="1" x14ac:dyDescent="0.3">
      <c r="A7" s="1" t="s">
        <v>265</v>
      </c>
      <c r="B7" s="1" t="s">
        <v>266</v>
      </c>
      <c r="C7" s="1" t="s">
        <v>267</v>
      </c>
      <c r="D7" s="1" t="str">
        <f t="shared" si="0"/>
        <v>Lauren Long</v>
      </c>
      <c r="E7" s="1">
        <v>44</v>
      </c>
      <c r="F7" s="1" t="s">
        <v>22</v>
      </c>
      <c r="G7" s="1" t="s">
        <v>213</v>
      </c>
      <c r="H7" s="1" t="s">
        <v>268</v>
      </c>
      <c r="I7" s="1" t="s">
        <v>269</v>
      </c>
      <c r="J7" s="1" t="s">
        <v>628</v>
      </c>
      <c r="K7" s="2">
        <v>45307</v>
      </c>
      <c r="L7" s="2" t="str">
        <f t="shared" si="1"/>
        <v>January</v>
      </c>
      <c r="M7" s="1" t="s">
        <v>629</v>
      </c>
      <c r="N7" s="1" t="s">
        <v>630</v>
      </c>
      <c r="O7" s="1">
        <v>445.81</v>
      </c>
      <c r="P7" s="1">
        <v>5</v>
      </c>
      <c r="Q7" s="1">
        <f t="shared" si="2"/>
        <v>2229.0500000000002</v>
      </c>
      <c r="R7" s="1" t="s">
        <v>51</v>
      </c>
      <c r="S7" s="1">
        <f t="shared" si="9"/>
        <v>334.35750000000002</v>
      </c>
      <c r="T7" s="1">
        <f t="shared" si="10"/>
        <v>1894.6925000000001</v>
      </c>
      <c r="U7" s="1">
        <v>1</v>
      </c>
      <c r="V7" s="1">
        <f t="shared" si="11"/>
        <v>1950.6925000000001</v>
      </c>
      <c r="W7" s="1">
        <v>56</v>
      </c>
      <c r="X7" s="2">
        <v>45313</v>
      </c>
      <c r="Y7" s="1" t="s">
        <v>631</v>
      </c>
      <c r="Z7" s="1">
        <f t="shared" si="12"/>
        <v>2285.0500000000002</v>
      </c>
      <c r="AA7" s="1">
        <f t="shared" si="3"/>
        <v>6</v>
      </c>
      <c r="AB7" s="1" t="str">
        <f t="shared" si="4"/>
        <v>Late</v>
      </c>
      <c r="AC7" s="1">
        <f t="shared" si="5"/>
        <v>2229.0500000000002</v>
      </c>
      <c r="AD7" s="7">
        <f t="shared" si="6"/>
        <v>0.15</v>
      </c>
      <c r="AE7" s="1">
        <f t="shared" si="7"/>
        <v>334.35750000000002</v>
      </c>
      <c r="AF7" s="1">
        <f t="shared" si="8"/>
        <v>390.35750000000002</v>
      </c>
    </row>
    <row r="8" spans="1:32" ht="14.25" customHeight="1" x14ac:dyDescent="0.3">
      <c r="A8" s="1" t="s">
        <v>428</v>
      </c>
      <c r="B8" s="1" t="s">
        <v>429</v>
      </c>
      <c r="C8" s="1" t="s">
        <v>430</v>
      </c>
      <c r="D8" s="1" t="str">
        <f t="shared" si="0"/>
        <v>Mary Knight</v>
      </c>
      <c r="E8" s="1">
        <v>28</v>
      </c>
      <c r="F8" s="1" t="s">
        <v>45</v>
      </c>
      <c r="G8" s="1" t="s">
        <v>69</v>
      </c>
      <c r="H8" s="1" t="s">
        <v>431</v>
      </c>
      <c r="I8" s="1" t="s">
        <v>432</v>
      </c>
      <c r="J8" s="1" t="s">
        <v>915</v>
      </c>
      <c r="K8" s="2">
        <v>45610</v>
      </c>
      <c r="L8" s="2" t="str">
        <f t="shared" si="1"/>
        <v>November</v>
      </c>
      <c r="M8" s="1" t="s">
        <v>916</v>
      </c>
      <c r="N8" s="1" t="s">
        <v>630</v>
      </c>
      <c r="O8" s="1">
        <v>445.81</v>
      </c>
      <c r="P8" s="1">
        <v>5</v>
      </c>
      <c r="Q8" s="1">
        <f t="shared" si="2"/>
        <v>2229.0500000000002</v>
      </c>
      <c r="R8" s="1" t="s">
        <v>29</v>
      </c>
      <c r="S8" s="1">
        <f t="shared" si="9"/>
        <v>178.32400000000001</v>
      </c>
      <c r="T8" s="1">
        <f t="shared" si="10"/>
        <v>2050.7260000000001</v>
      </c>
      <c r="U8" s="1">
        <v>6</v>
      </c>
      <c r="V8" s="1">
        <f t="shared" si="11"/>
        <v>2120.7260000000001</v>
      </c>
      <c r="W8" s="1">
        <v>70</v>
      </c>
      <c r="X8" s="2">
        <v>45613</v>
      </c>
      <c r="Y8" s="1" t="s">
        <v>917</v>
      </c>
      <c r="Z8" s="1">
        <f t="shared" si="12"/>
        <v>2299.0500000000002</v>
      </c>
      <c r="AA8" s="1">
        <f t="shared" si="3"/>
        <v>3</v>
      </c>
      <c r="AB8" s="1" t="str">
        <f t="shared" si="4"/>
        <v>BeforeTime</v>
      </c>
      <c r="AC8" s="1">
        <f t="shared" si="5"/>
        <v>2229.0500000000002</v>
      </c>
      <c r="AD8" s="7">
        <f t="shared" si="6"/>
        <v>0.08</v>
      </c>
      <c r="AE8" s="1">
        <f t="shared" si="7"/>
        <v>178.32400000000001</v>
      </c>
      <c r="AF8" s="1">
        <f t="shared" si="8"/>
        <v>248.32400000000001</v>
      </c>
    </row>
    <row r="9" spans="1:32" ht="14.25" customHeight="1" x14ac:dyDescent="0.3">
      <c r="A9" s="1" t="s">
        <v>1072</v>
      </c>
      <c r="B9" s="1" t="s">
        <v>211</v>
      </c>
      <c r="C9" s="1" t="s">
        <v>1073</v>
      </c>
      <c r="D9" s="1" t="str">
        <f t="shared" si="0"/>
        <v>Mark Summers</v>
      </c>
      <c r="E9" s="1">
        <v>55</v>
      </c>
      <c r="F9" s="1" t="s">
        <v>34</v>
      </c>
      <c r="G9" s="1" t="s">
        <v>152</v>
      </c>
      <c r="H9" s="1" t="s">
        <v>1074</v>
      </c>
      <c r="I9" s="1" t="s">
        <v>1075</v>
      </c>
      <c r="J9" s="1" t="s">
        <v>1090</v>
      </c>
      <c r="K9" s="2">
        <v>45039</v>
      </c>
      <c r="L9" s="2" t="str">
        <f t="shared" si="1"/>
        <v>April</v>
      </c>
      <c r="M9" s="1" t="s">
        <v>1091</v>
      </c>
      <c r="N9" s="1" t="s">
        <v>511</v>
      </c>
      <c r="O9" s="1">
        <v>441.03</v>
      </c>
      <c r="P9" s="1">
        <v>5</v>
      </c>
      <c r="Q9" s="1">
        <f t="shared" si="2"/>
        <v>2205.1499999999996</v>
      </c>
      <c r="R9" s="1" t="s">
        <v>51</v>
      </c>
      <c r="S9" s="1">
        <f t="shared" si="9"/>
        <v>330.77249999999992</v>
      </c>
      <c r="T9" s="1">
        <f t="shared" si="10"/>
        <v>1874.3774999999996</v>
      </c>
      <c r="U9" s="1">
        <v>3</v>
      </c>
      <c r="V9" s="1">
        <f t="shared" si="11"/>
        <v>1911.3774999999996</v>
      </c>
      <c r="W9" s="1">
        <v>37</v>
      </c>
      <c r="X9" s="2">
        <v>45044</v>
      </c>
      <c r="Y9" s="1" t="s">
        <v>1092</v>
      </c>
      <c r="Z9" s="1">
        <f t="shared" si="12"/>
        <v>2242.1499999999996</v>
      </c>
      <c r="AA9" s="1">
        <f t="shared" si="3"/>
        <v>5</v>
      </c>
      <c r="AB9" s="1" t="str">
        <f t="shared" si="4"/>
        <v>Late</v>
      </c>
      <c r="AC9" s="1">
        <f t="shared" si="5"/>
        <v>2205.1499999999996</v>
      </c>
      <c r="AD9" s="7">
        <f t="shared" si="6"/>
        <v>0.15</v>
      </c>
      <c r="AE9" s="1">
        <f t="shared" si="7"/>
        <v>330.77249999999992</v>
      </c>
      <c r="AF9" s="1">
        <f t="shared" si="8"/>
        <v>367.77249999999992</v>
      </c>
    </row>
    <row r="10" spans="1:32" ht="14.25" customHeight="1" x14ac:dyDescent="0.3">
      <c r="A10" s="1" t="s">
        <v>158</v>
      </c>
      <c r="B10" s="1" t="s">
        <v>159</v>
      </c>
      <c r="C10" s="1" t="s">
        <v>160</v>
      </c>
      <c r="D10" s="1" t="str">
        <f t="shared" si="0"/>
        <v>Erin Miller</v>
      </c>
      <c r="E10" s="1">
        <v>46</v>
      </c>
      <c r="F10" s="1" t="s">
        <v>22</v>
      </c>
      <c r="G10" s="1" t="s">
        <v>161</v>
      </c>
      <c r="H10" s="1" t="s">
        <v>162</v>
      </c>
      <c r="I10" s="1" t="s">
        <v>163</v>
      </c>
      <c r="J10" s="1" t="s">
        <v>1853</v>
      </c>
      <c r="K10" s="2">
        <v>45010</v>
      </c>
      <c r="L10" s="2" t="str">
        <f t="shared" si="1"/>
        <v>March</v>
      </c>
      <c r="M10" s="1" t="s">
        <v>1854</v>
      </c>
      <c r="N10" s="1" t="s">
        <v>511</v>
      </c>
      <c r="O10" s="1">
        <v>441.03</v>
      </c>
      <c r="P10" s="1">
        <v>5</v>
      </c>
      <c r="Q10" s="1">
        <f t="shared" si="2"/>
        <v>2205.1499999999996</v>
      </c>
      <c r="R10" s="1" t="s">
        <v>78</v>
      </c>
      <c r="S10" s="1">
        <f t="shared" si="9"/>
        <v>441.03</v>
      </c>
      <c r="T10" s="1">
        <f t="shared" si="10"/>
        <v>1764.1199999999997</v>
      </c>
      <c r="U10" s="1">
        <v>7</v>
      </c>
      <c r="V10" s="1">
        <f t="shared" si="11"/>
        <v>1800.1199999999997</v>
      </c>
      <c r="W10" s="1">
        <v>36</v>
      </c>
      <c r="X10" s="2">
        <v>45016</v>
      </c>
      <c r="Y10" s="1" t="s">
        <v>1855</v>
      </c>
      <c r="Z10" s="1">
        <f t="shared" si="12"/>
        <v>2241.1499999999996</v>
      </c>
      <c r="AA10" s="1">
        <f t="shared" si="3"/>
        <v>6</v>
      </c>
      <c r="AB10" s="1" t="str">
        <f t="shared" si="4"/>
        <v>BeforeTime</v>
      </c>
      <c r="AC10" s="1">
        <f t="shared" si="5"/>
        <v>2205.1499999999996</v>
      </c>
      <c r="AD10" s="7">
        <f t="shared" si="6"/>
        <v>0.2</v>
      </c>
      <c r="AE10" s="1">
        <f t="shared" si="7"/>
        <v>441.03</v>
      </c>
      <c r="AF10" s="1">
        <f t="shared" si="8"/>
        <v>477.03</v>
      </c>
    </row>
    <row r="11" spans="1:32" ht="14.25" customHeight="1" x14ac:dyDescent="0.3">
      <c r="A11" s="1" t="s">
        <v>378</v>
      </c>
      <c r="B11" s="1" t="s">
        <v>379</v>
      </c>
      <c r="C11" s="1" t="s">
        <v>380</v>
      </c>
      <c r="D11" s="1" t="str">
        <f t="shared" si="0"/>
        <v>Aaron Thompson</v>
      </c>
      <c r="E11" s="1">
        <v>47</v>
      </c>
      <c r="F11" s="1" t="s">
        <v>34</v>
      </c>
      <c r="G11" s="1" t="s">
        <v>83</v>
      </c>
      <c r="H11" s="1" t="s">
        <v>381</v>
      </c>
      <c r="I11" s="1" t="s">
        <v>382</v>
      </c>
      <c r="J11" s="1" t="s">
        <v>2013</v>
      </c>
      <c r="K11" s="2">
        <v>45681</v>
      </c>
      <c r="L11" s="2" t="str">
        <f t="shared" si="1"/>
        <v>January</v>
      </c>
      <c r="M11" s="1" t="s">
        <v>2014</v>
      </c>
      <c r="N11" s="1" t="s">
        <v>511</v>
      </c>
      <c r="O11" s="1">
        <v>441.03</v>
      </c>
      <c r="P11" s="1">
        <v>5</v>
      </c>
      <c r="Q11" s="1">
        <f t="shared" si="2"/>
        <v>2205.1499999999996</v>
      </c>
      <c r="R11" s="1" t="s">
        <v>29</v>
      </c>
      <c r="S11" s="1">
        <f t="shared" si="9"/>
        <v>176.41199999999998</v>
      </c>
      <c r="T11" s="1">
        <f t="shared" si="10"/>
        <v>2028.7379999999996</v>
      </c>
      <c r="U11" s="1">
        <v>5</v>
      </c>
      <c r="V11" s="1">
        <f t="shared" si="11"/>
        <v>2090.7379999999994</v>
      </c>
      <c r="W11" s="1">
        <v>62</v>
      </c>
      <c r="X11" s="2">
        <v>45682</v>
      </c>
      <c r="Y11" s="1" t="s">
        <v>2015</v>
      </c>
      <c r="Z11" s="1">
        <f t="shared" si="12"/>
        <v>2267.1499999999996</v>
      </c>
      <c r="AA11" s="1">
        <f t="shared" si="3"/>
        <v>1</v>
      </c>
      <c r="AB11" s="1" t="str">
        <f t="shared" si="4"/>
        <v>BeforeTime</v>
      </c>
      <c r="AC11" s="1">
        <f t="shared" si="5"/>
        <v>2205.1499999999996</v>
      </c>
      <c r="AD11" s="7">
        <f t="shared" si="6"/>
        <v>0.08</v>
      </c>
      <c r="AE11" s="1">
        <f t="shared" si="7"/>
        <v>176.41199999999998</v>
      </c>
      <c r="AF11" s="1">
        <f t="shared" si="8"/>
        <v>238.41199999999998</v>
      </c>
    </row>
    <row r="12" spans="1:32" ht="14.25" customHeight="1" x14ac:dyDescent="0.3">
      <c r="A12" s="1" t="s">
        <v>294</v>
      </c>
      <c r="B12" s="1" t="s">
        <v>295</v>
      </c>
      <c r="C12" s="1" t="s">
        <v>296</v>
      </c>
      <c r="D12" s="1" t="str">
        <f t="shared" si="0"/>
        <v>Valerie Carr</v>
      </c>
      <c r="E12" s="1">
        <v>26</v>
      </c>
      <c r="F12" s="1" t="s">
        <v>45</v>
      </c>
      <c r="G12" s="1" t="s">
        <v>161</v>
      </c>
      <c r="H12" s="1" t="s">
        <v>297</v>
      </c>
      <c r="I12" s="1" t="s">
        <v>298</v>
      </c>
      <c r="J12" s="1" t="s">
        <v>374</v>
      </c>
      <c r="K12" s="2">
        <v>45313</v>
      </c>
      <c r="L12" s="2" t="str">
        <f t="shared" si="1"/>
        <v>January</v>
      </c>
      <c r="M12" s="1" t="s">
        <v>375</v>
      </c>
      <c r="N12" s="1" t="s">
        <v>376</v>
      </c>
      <c r="O12" s="1">
        <v>431.44</v>
      </c>
      <c r="P12" s="1">
        <v>5</v>
      </c>
      <c r="Q12" s="1">
        <f t="shared" si="2"/>
        <v>2157.1999999999998</v>
      </c>
      <c r="R12" s="1" t="s">
        <v>29</v>
      </c>
      <c r="S12" s="1">
        <f t="shared" si="9"/>
        <v>172.57599999999999</v>
      </c>
      <c r="T12" s="1">
        <f t="shared" si="10"/>
        <v>1984.6239999999998</v>
      </c>
      <c r="U12" s="1">
        <v>2</v>
      </c>
      <c r="V12" s="1">
        <f t="shared" si="11"/>
        <v>2041.6239999999998</v>
      </c>
      <c r="W12" s="1">
        <v>57</v>
      </c>
      <c r="X12" s="2">
        <v>45318</v>
      </c>
      <c r="Y12" s="1" t="s">
        <v>377</v>
      </c>
      <c r="Z12" s="1">
        <f t="shared" si="12"/>
        <v>2214.1999999999998</v>
      </c>
      <c r="AA12" s="1">
        <f t="shared" si="3"/>
        <v>5</v>
      </c>
      <c r="AB12" s="1" t="str">
        <f t="shared" si="4"/>
        <v>Late</v>
      </c>
      <c r="AC12" s="1">
        <f t="shared" si="5"/>
        <v>2157.1999999999998</v>
      </c>
      <c r="AD12" s="7">
        <f t="shared" si="6"/>
        <v>0.08</v>
      </c>
      <c r="AE12" s="1">
        <f t="shared" si="7"/>
        <v>172.57599999999999</v>
      </c>
      <c r="AF12" s="1">
        <f t="shared" si="8"/>
        <v>229.57599999999999</v>
      </c>
    </row>
    <row r="13" spans="1:32" ht="14.25" customHeight="1" x14ac:dyDescent="0.3">
      <c r="A13" s="1" t="s">
        <v>443</v>
      </c>
      <c r="B13" s="1" t="s">
        <v>444</v>
      </c>
      <c r="C13" s="1" t="s">
        <v>445</v>
      </c>
      <c r="D13" s="1" t="str">
        <f t="shared" si="0"/>
        <v>Brian Kennedy</v>
      </c>
      <c r="E13" s="1">
        <v>69</v>
      </c>
      <c r="F13" s="1" t="s">
        <v>22</v>
      </c>
      <c r="G13" s="1" t="s">
        <v>23</v>
      </c>
      <c r="H13" s="1" t="s">
        <v>446</v>
      </c>
      <c r="I13" s="1" t="s">
        <v>447</v>
      </c>
      <c r="J13" s="1" t="s">
        <v>551</v>
      </c>
      <c r="K13" s="2">
        <v>45132</v>
      </c>
      <c r="L13" s="2" t="str">
        <f t="shared" si="1"/>
        <v>July</v>
      </c>
      <c r="M13" s="1" t="s">
        <v>552</v>
      </c>
      <c r="N13" s="1" t="s">
        <v>376</v>
      </c>
      <c r="O13" s="1">
        <v>431.44</v>
      </c>
      <c r="P13" s="1">
        <v>5</v>
      </c>
      <c r="Q13" s="1">
        <f t="shared" si="2"/>
        <v>2157.1999999999998</v>
      </c>
      <c r="R13" s="1" t="s">
        <v>51</v>
      </c>
      <c r="S13" s="1">
        <f t="shared" si="9"/>
        <v>323.58</v>
      </c>
      <c r="T13" s="1">
        <f t="shared" si="10"/>
        <v>1833.62</v>
      </c>
      <c r="U13" s="1">
        <v>6</v>
      </c>
      <c r="V13" s="1">
        <f t="shared" si="11"/>
        <v>1892.62</v>
      </c>
      <c r="W13" s="1">
        <v>59</v>
      </c>
      <c r="X13" s="2">
        <v>45139</v>
      </c>
      <c r="Y13" s="1" t="s">
        <v>553</v>
      </c>
      <c r="Z13" s="1">
        <f t="shared" si="12"/>
        <v>2216.1999999999998</v>
      </c>
      <c r="AA13" s="1">
        <f t="shared" si="3"/>
        <v>7</v>
      </c>
      <c r="AB13" s="1" t="str">
        <f t="shared" si="4"/>
        <v>Late</v>
      </c>
      <c r="AC13" s="1">
        <f t="shared" si="5"/>
        <v>2157.1999999999998</v>
      </c>
      <c r="AD13" s="7">
        <f t="shared" si="6"/>
        <v>0.15</v>
      </c>
      <c r="AE13" s="1">
        <f t="shared" si="7"/>
        <v>323.58</v>
      </c>
      <c r="AF13" s="1">
        <f t="shared" si="8"/>
        <v>382.58</v>
      </c>
    </row>
    <row r="14" spans="1:32" ht="14.25" customHeight="1" x14ac:dyDescent="0.3">
      <c r="A14" s="1" t="s">
        <v>743</v>
      </c>
      <c r="B14" s="1" t="s">
        <v>744</v>
      </c>
      <c r="C14" s="1" t="s">
        <v>745</v>
      </c>
      <c r="D14" s="1" t="str">
        <f t="shared" si="0"/>
        <v>Barbara Fuller</v>
      </c>
      <c r="E14" s="1">
        <v>43</v>
      </c>
      <c r="F14" s="1" t="s">
        <v>45</v>
      </c>
      <c r="G14" s="1" t="s">
        <v>152</v>
      </c>
      <c r="H14" s="1" t="s">
        <v>746</v>
      </c>
      <c r="I14" s="1" t="s">
        <v>747</v>
      </c>
      <c r="J14" s="1" t="s">
        <v>748</v>
      </c>
      <c r="K14" s="2">
        <v>45276</v>
      </c>
      <c r="L14" s="2" t="str">
        <f t="shared" si="1"/>
        <v>December</v>
      </c>
      <c r="M14" s="1" t="s">
        <v>749</v>
      </c>
      <c r="N14" s="1" t="s">
        <v>376</v>
      </c>
      <c r="O14" s="1">
        <v>431.44</v>
      </c>
      <c r="P14" s="1">
        <v>5</v>
      </c>
      <c r="Q14" s="1">
        <f t="shared" si="2"/>
        <v>2157.1999999999998</v>
      </c>
      <c r="R14" s="1" t="s">
        <v>51</v>
      </c>
      <c r="S14" s="1">
        <f t="shared" si="9"/>
        <v>323.58</v>
      </c>
      <c r="T14" s="1">
        <f t="shared" si="10"/>
        <v>1833.62</v>
      </c>
      <c r="U14" s="1">
        <v>4</v>
      </c>
      <c r="V14" s="1">
        <f t="shared" si="11"/>
        <v>1875.62</v>
      </c>
      <c r="W14" s="1">
        <v>42</v>
      </c>
      <c r="X14" s="2">
        <v>45280</v>
      </c>
      <c r="Y14" s="1" t="s">
        <v>750</v>
      </c>
      <c r="Z14" s="1">
        <f t="shared" si="12"/>
        <v>2199.1999999999998</v>
      </c>
      <c r="AA14" s="1">
        <f t="shared" si="3"/>
        <v>4</v>
      </c>
      <c r="AB14" s="1" t="str">
        <f t="shared" si="4"/>
        <v>Intime</v>
      </c>
      <c r="AC14" s="1">
        <f t="shared" si="5"/>
        <v>2157.1999999999998</v>
      </c>
      <c r="AD14" s="7">
        <f t="shared" si="6"/>
        <v>0.15</v>
      </c>
      <c r="AE14" s="1">
        <f t="shared" si="7"/>
        <v>323.58</v>
      </c>
      <c r="AF14" s="1">
        <f t="shared" si="8"/>
        <v>365.58</v>
      </c>
    </row>
    <row r="15" spans="1:32" ht="14.25" customHeight="1" x14ac:dyDescent="0.3">
      <c r="A15" s="1" t="s">
        <v>769</v>
      </c>
      <c r="B15" s="1" t="s">
        <v>770</v>
      </c>
      <c r="C15" s="1" t="s">
        <v>771</v>
      </c>
      <c r="D15" s="1" t="str">
        <f t="shared" si="0"/>
        <v>Lindsey Byrd</v>
      </c>
      <c r="E15" s="1">
        <v>32</v>
      </c>
      <c r="F15" s="1" t="s">
        <v>22</v>
      </c>
      <c r="G15" s="1" t="s">
        <v>152</v>
      </c>
      <c r="H15" s="1" t="s">
        <v>772</v>
      </c>
      <c r="I15" s="1" t="s">
        <v>773</v>
      </c>
      <c r="J15" s="1" t="s">
        <v>1197</v>
      </c>
      <c r="K15" s="2">
        <v>45117</v>
      </c>
      <c r="L15" s="2" t="str">
        <f t="shared" si="1"/>
        <v>July</v>
      </c>
      <c r="M15" s="1" t="s">
        <v>1198</v>
      </c>
      <c r="N15" s="1" t="s">
        <v>546</v>
      </c>
      <c r="O15" s="1">
        <v>425.59</v>
      </c>
      <c r="P15" s="1">
        <v>5</v>
      </c>
      <c r="Q15" s="1">
        <f t="shared" si="2"/>
        <v>2127.9499999999998</v>
      </c>
      <c r="R15" s="1" t="s">
        <v>29</v>
      </c>
      <c r="S15" s="1">
        <f t="shared" si="9"/>
        <v>170.23599999999999</v>
      </c>
      <c r="T15" s="1">
        <f t="shared" si="10"/>
        <v>1957.7139999999999</v>
      </c>
      <c r="U15" s="1">
        <v>7</v>
      </c>
      <c r="V15" s="1">
        <f t="shared" si="11"/>
        <v>2014.7139999999999</v>
      </c>
      <c r="W15" s="1">
        <v>57</v>
      </c>
      <c r="X15" s="2">
        <v>45124</v>
      </c>
      <c r="Y15" s="1" t="s">
        <v>1199</v>
      </c>
      <c r="Z15" s="1">
        <f t="shared" si="12"/>
        <v>2184.9499999999998</v>
      </c>
      <c r="AA15" s="1">
        <f t="shared" si="3"/>
        <v>7</v>
      </c>
      <c r="AB15" s="1" t="str">
        <f t="shared" si="4"/>
        <v>Intime</v>
      </c>
      <c r="AC15" s="1">
        <f t="shared" si="5"/>
        <v>2127.9499999999998</v>
      </c>
      <c r="AD15" s="7">
        <f t="shared" si="6"/>
        <v>0.08</v>
      </c>
      <c r="AE15" s="1">
        <f t="shared" si="7"/>
        <v>170.23599999999999</v>
      </c>
      <c r="AF15" s="1">
        <f t="shared" si="8"/>
        <v>227.23599999999999</v>
      </c>
    </row>
    <row r="16" spans="1:32" ht="14.25" customHeight="1" x14ac:dyDescent="0.3">
      <c r="A16" s="1" t="s">
        <v>386</v>
      </c>
      <c r="B16" s="1" t="s">
        <v>387</v>
      </c>
      <c r="C16" s="1" t="s">
        <v>388</v>
      </c>
      <c r="D16" s="1" t="str">
        <f t="shared" si="0"/>
        <v>Jason Lopez</v>
      </c>
      <c r="E16" s="1">
        <v>40</v>
      </c>
      <c r="F16" s="1" t="s">
        <v>45</v>
      </c>
      <c r="G16" s="1" t="s">
        <v>161</v>
      </c>
      <c r="H16" s="1" t="s">
        <v>389</v>
      </c>
      <c r="I16" s="1" t="s">
        <v>390</v>
      </c>
      <c r="J16" s="1" t="s">
        <v>1488</v>
      </c>
      <c r="K16" s="2">
        <v>45527</v>
      </c>
      <c r="L16" s="2" t="str">
        <f t="shared" si="1"/>
        <v>August</v>
      </c>
      <c r="M16" s="1" t="s">
        <v>1489</v>
      </c>
      <c r="N16" s="1" t="s">
        <v>546</v>
      </c>
      <c r="O16" s="1">
        <v>425.59</v>
      </c>
      <c r="P16" s="1">
        <v>5</v>
      </c>
      <c r="Q16" s="1">
        <f t="shared" si="2"/>
        <v>2127.9499999999998</v>
      </c>
      <c r="R16" s="1" t="s">
        <v>56</v>
      </c>
      <c r="S16" s="1">
        <f t="shared" si="9"/>
        <v>0</v>
      </c>
      <c r="T16" s="1">
        <f t="shared" si="10"/>
        <v>2127.9499999999998</v>
      </c>
      <c r="U16" s="1">
        <v>4</v>
      </c>
      <c r="V16" s="1">
        <f t="shared" si="11"/>
        <v>2170.9499999999998</v>
      </c>
      <c r="W16" s="1">
        <v>43</v>
      </c>
      <c r="X16" s="2">
        <v>45531</v>
      </c>
      <c r="Y16" s="1" t="s">
        <v>1490</v>
      </c>
      <c r="Z16" s="1">
        <f t="shared" si="12"/>
        <v>2170.9499999999998</v>
      </c>
      <c r="AA16" s="1">
        <f t="shared" si="3"/>
        <v>4</v>
      </c>
      <c r="AB16" s="1" t="str">
        <f t="shared" si="4"/>
        <v>Intime</v>
      </c>
      <c r="AC16" s="1">
        <f t="shared" si="5"/>
        <v>2127.9499999999998</v>
      </c>
      <c r="AD16" s="7">
        <f t="shared" si="6"/>
        <v>0</v>
      </c>
      <c r="AE16" s="1">
        <f t="shared" si="7"/>
        <v>0</v>
      </c>
      <c r="AF16" s="1">
        <f t="shared" si="8"/>
        <v>0</v>
      </c>
    </row>
    <row r="17" spans="1:32" ht="14.25" customHeight="1" x14ac:dyDescent="0.3">
      <c r="A17" s="1" t="s">
        <v>513</v>
      </c>
      <c r="B17" s="1" t="s">
        <v>514</v>
      </c>
      <c r="C17" s="1" t="s">
        <v>515</v>
      </c>
      <c r="D17" s="1" t="str">
        <f t="shared" si="0"/>
        <v>Katherine Weber</v>
      </c>
      <c r="E17" s="1">
        <v>42</v>
      </c>
      <c r="F17" s="1" t="s">
        <v>45</v>
      </c>
      <c r="G17" s="1" t="s">
        <v>69</v>
      </c>
      <c r="H17" s="1" t="s">
        <v>516</v>
      </c>
      <c r="I17" s="1" t="s">
        <v>517</v>
      </c>
      <c r="J17" s="1" t="s">
        <v>1817</v>
      </c>
      <c r="K17" s="2">
        <v>45646</v>
      </c>
      <c r="L17" s="2" t="str">
        <f t="shared" si="1"/>
        <v>December</v>
      </c>
      <c r="M17" s="1" t="s">
        <v>1818</v>
      </c>
      <c r="N17" s="1" t="s">
        <v>546</v>
      </c>
      <c r="O17" s="1">
        <v>425.59</v>
      </c>
      <c r="P17" s="1">
        <v>5</v>
      </c>
      <c r="Q17" s="1">
        <f t="shared" si="2"/>
        <v>2127.9499999999998</v>
      </c>
      <c r="R17" s="1" t="s">
        <v>56</v>
      </c>
      <c r="S17" s="1">
        <f t="shared" si="9"/>
        <v>0</v>
      </c>
      <c r="T17" s="1">
        <f t="shared" si="10"/>
        <v>2127.9499999999998</v>
      </c>
      <c r="U17" s="1">
        <v>5</v>
      </c>
      <c r="V17" s="1">
        <f t="shared" si="11"/>
        <v>2174.9499999999998</v>
      </c>
      <c r="W17" s="1">
        <v>47</v>
      </c>
      <c r="X17" s="2">
        <v>45652</v>
      </c>
      <c r="Y17" s="1" t="s">
        <v>1819</v>
      </c>
      <c r="Z17" s="1">
        <f t="shared" si="12"/>
        <v>2174.9499999999998</v>
      </c>
      <c r="AA17" s="1">
        <f t="shared" si="3"/>
        <v>6</v>
      </c>
      <c r="AB17" s="1" t="str">
        <f t="shared" si="4"/>
        <v>Late</v>
      </c>
      <c r="AC17" s="1">
        <f t="shared" si="5"/>
        <v>2127.9499999999998</v>
      </c>
      <c r="AD17" s="7">
        <f t="shared" si="6"/>
        <v>0</v>
      </c>
      <c r="AE17" s="1">
        <f t="shared" si="7"/>
        <v>0</v>
      </c>
      <c r="AF17" s="1">
        <f t="shared" si="8"/>
        <v>0</v>
      </c>
    </row>
    <row r="18" spans="1:32" ht="14.25" customHeight="1" x14ac:dyDescent="0.3">
      <c r="A18" s="1" t="s">
        <v>202</v>
      </c>
      <c r="B18" s="1" t="s">
        <v>203</v>
      </c>
      <c r="C18" s="1" t="s">
        <v>204</v>
      </c>
      <c r="D18" s="1" t="str">
        <f t="shared" si="0"/>
        <v>Christian Clayton</v>
      </c>
      <c r="E18" s="1">
        <v>39</v>
      </c>
      <c r="F18" s="1" t="s">
        <v>34</v>
      </c>
      <c r="G18" s="1" t="s">
        <v>152</v>
      </c>
      <c r="H18" s="1" t="s">
        <v>205</v>
      </c>
      <c r="I18" s="1" t="s">
        <v>206</v>
      </c>
      <c r="J18" s="1" t="s">
        <v>1568</v>
      </c>
      <c r="K18" s="2">
        <v>45387</v>
      </c>
      <c r="L18" s="2" t="str">
        <f t="shared" si="1"/>
        <v>April</v>
      </c>
      <c r="M18" s="1" t="s">
        <v>1569</v>
      </c>
      <c r="N18" s="1" t="s">
        <v>679</v>
      </c>
      <c r="O18" s="1">
        <v>424.82</v>
      </c>
      <c r="P18" s="1">
        <v>5</v>
      </c>
      <c r="Q18" s="1">
        <f t="shared" si="2"/>
        <v>2124.1</v>
      </c>
      <c r="R18" s="1" t="s">
        <v>89</v>
      </c>
      <c r="S18" s="1">
        <f t="shared" si="9"/>
        <v>212.41</v>
      </c>
      <c r="T18" s="1">
        <f t="shared" si="10"/>
        <v>1911.6899999999998</v>
      </c>
      <c r="U18" s="1">
        <v>7</v>
      </c>
      <c r="V18" s="1">
        <f t="shared" si="11"/>
        <v>1948.6899999999998</v>
      </c>
      <c r="W18" s="1">
        <v>37</v>
      </c>
      <c r="X18" s="2">
        <v>45393</v>
      </c>
      <c r="Y18" s="1" t="s">
        <v>1570</v>
      </c>
      <c r="Z18" s="1">
        <f t="shared" si="12"/>
        <v>2161.1</v>
      </c>
      <c r="AA18" s="1">
        <f t="shared" si="3"/>
        <v>6</v>
      </c>
      <c r="AB18" s="1" t="str">
        <f t="shared" si="4"/>
        <v>BeforeTime</v>
      </c>
      <c r="AC18" s="1">
        <f t="shared" si="5"/>
        <v>2124.1</v>
      </c>
      <c r="AD18" s="7">
        <f t="shared" si="6"/>
        <v>0.1</v>
      </c>
      <c r="AE18" s="1">
        <f t="shared" si="7"/>
        <v>212.41</v>
      </c>
      <c r="AF18" s="1">
        <f t="shared" si="8"/>
        <v>249.41</v>
      </c>
    </row>
    <row r="19" spans="1:32" ht="14.25" customHeight="1" x14ac:dyDescent="0.3">
      <c r="A19" s="1" t="s">
        <v>1214</v>
      </c>
      <c r="B19" s="1" t="s">
        <v>1215</v>
      </c>
      <c r="C19" s="1" t="s">
        <v>1216</v>
      </c>
      <c r="D19" s="1" t="str">
        <f t="shared" si="0"/>
        <v>Jessica Ruiz</v>
      </c>
      <c r="E19" s="1">
        <v>19</v>
      </c>
      <c r="F19" s="1" t="s">
        <v>34</v>
      </c>
      <c r="G19" s="1" t="s">
        <v>69</v>
      </c>
      <c r="H19" s="1" t="s">
        <v>1217</v>
      </c>
      <c r="I19" s="1" t="s">
        <v>1218</v>
      </c>
      <c r="J19" s="1" t="s">
        <v>1219</v>
      </c>
      <c r="K19" s="2">
        <v>45453</v>
      </c>
      <c r="L19" s="2" t="str">
        <f t="shared" si="1"/>
        <v>June</v>
      </c>
      <c r="M19" s="1" t="s">
        <v>1220</v>
      </c>
      <c r="N19" s="1" t="s">
        <v>488</v>
      </c>
      <c r="O19" s="1">
        <v>421.7</v>
      </c>
      <c r="P19" s="1">
        <v>5</v>
      </c>
      <c r="Q19" s="1">
        <f t="shared" si="2"/>
        <v>2108.5</v>
      </c>
      <c r="R19" s="1" t="s">
        <v>89</v>
      </c>
      <c r="S19" s="1">
        <f t="shared" si="9"/>
        <v>210.85000000000002</v>
      </c>
      <c r="T19" s="1">
        <f t="shared" si="10"/>
        <v>1897.65</v>
      </c>
      <c r="U19" s="1">
        <v>6</v>
      </c>
      <c r="V19" s="1">
        <f t="shared" si="11"/>
        <v>1958.65</v>
      </c>
      <c r="W19" s="1">
        <v>61</v>
      </c>
      <c r="X19" s="2">
        <v>45457</v>
      </c>
      <c r="Y19" s="1" t="s">
        <v>1221</v>
      </c>
      <c r="Z19" s="1">
        <f t="shared" si="12"/>
        <v>2169.5</v>
      </c>
      <c r="AA19" s="1">
        <f t="shared" si="3"/>
        <v>4</v>
      </c>
      <c r="AB19" s="1" t="str">
        <f t="shared" si="4"/>
        <v>BeforeTime</v>
      </c>
      <c r="AC19" s="1">
        <f t="shared" si="5"/>
        <v>2108.5</v>
      </c>
      <c r="AD19" s="7">
        <f t="shared" si="6"/>
        <v>0.1</v>
      </c>
      <c r="AE19" s="1">
        <f t="shared" si="7"/>
        <v>210.85000000000002</v>
      </c>
      <c r="AF19" s="1">
        <f t="shared" si="8"/>
        <v>271.85000000000002</v>
      </c>
    </row>
    <row r="20" spans="1:32" ht="14.25" customHeight="1" x14ac:dyDescent="0.3">
      <c r="A20" s="1" t="s">
        <v>840</v>
      </c>
      <c r="B20" s="1" t="s">
        <v>841</v>
      </c>
      <c r="C20" s="1" t="s">
        <v>380</v>
      </c>
      <c r="D20" s="1" t="str">
        <f t="shared" si="0"/>
        <v>Susan Thompson</v>
      </c>
      <c r="E20" s="1">
        <v>37</v>
      </c>
      <c r="F20" s="1" t="s">
        <v>45</v>
      </c>
      <c r="G20" s="1" t="s">
        <v>213</v>
      </c>
      <c r="H20" s="1" t="s">
        <v>842</v>
      </c>
      <c r="I20" s="1" t="s">
        <v>843</v>
      </c>
      <c r="J20" s="1" t="s">
        <v>1432</v>
      </c>
      <c r="K20" s="2">
        <v>45671</v>
      </c>
      <c r="L20" s="2" t="str">
        <f t="shared" si="1"/>
        <v>January</v>
      </c>
      <c r="M20" s="1" t="s">
        <v>1433</v>
      </c>
      <c r="N20" s="1" t="s">
        <v>488</v>
      </c>
      <c r="O20" s="1">
        <v>421.7</v>
      </c>
      <c r="P20" s="1">
        <v>5</v>
      </c>
      <c r="Q20" s="1">
        <f t="shared" si="2"/>
        <v>2108.5</v>
      </c>
      <c r="R20" s="1" t="s">
        <v>51</v>
      </c>
      <c r="S20" s="1">
        <f t="shared" si="9"/>
        <v>316.27499999999998</v>
      </c>
      <c r="T20" s="1">
        <f t="shared" si="10"/>
        <v>1792.2249999999999</v>
      </c>
      <c r="U20" s="1">
        <v>2</v>
      </c>
      <c r="V20" s="1">
        <f t="shared" si="11"/>
        <v>1848.2249999999999</v>
      </c>
      <c r="W20" s="1">
        <v>56</v>
      </c>
      <c r="X20" s="2">
        <v>45674</v>
      </c>
      <c r="Y20" s="1" t="s">
        <v>1434</v>
      </c>
      <c r="Z20" s="1">
        <f t="shared" si="12"/>
        <v>2164.5</v>
      </c>
      <c r="AA20" s="1">
        <f t="shared" si="3"/>
        <v>3</v>
      </c>
      <c r="AB20" s="1" t="str">
        <f t="shared" si="4"/>
        <v>Late</v>
      </c>
      <c r="AC20" s="1">
        <f t="shared" si="5"/>
        <v>2108.5</v>
      </c>
      <c r="AD20" s="7">
        <f t="shared" si="6"/>
        <v>0.15</v>
      </c>
      <c r="AE20" s="1">
        <f t="shared" si="7"/>
        <v>316.27499999999998</v>
      </c>
      <c r="AF20" s="1">
        <f t="shared" si="8"/>
        <v>372.27499999999998</v>
      </c>
    </row>
    <row r="21" spans="1:32" ht="14.25" customHeight="1" x14ac:dyDescent="0.3">
      <c r="A21" s="1" t="s">
        <v>1335</v>
      </c>
      <c r="B21" s="1" t="s">
        <v>501</v>
      </c>
      <c r="C21" s="1" t="s">
        <v>1336</v>
      </c>
      <c r="D21" s="1" t="str">
        <f t="shared" si="0"/>
        <v>Sarah Benson</v>
      </c>
      <c r="E21" s="1">
        <v>40</v>
      </c>
      <c r="F21" s="1" t="s">
        <v>45</v>
      </c>
      <c r="G21" s="1" t="s">
        <v>213</v>
      </c>
      <c r="H21" s="1" t="s">
        <v>1337</v>
      </c>
      <c r="I21" s="1" t="s">
        <v>1338</v>
      </c>
      <c r="J21" s="1" t="s">
        <v>1577</v>
      </c>
      <c r="K21" s="2">
        <v>45190</v>
      </c>
      <c r="L21" s="2" t="str">
        <f t="shared" si="1"/>
        <v>September</v>
      </c>
      <c r="M21" s="1" t="s">
        <v>1578</v>
      </c>
      <c r="N21" s="1" t="s">
        <v>488</v>
      </c>
      <c r="O21" s="1">
        <v>421.7</v>
      </c>
      <c r="P21" s="1">
        <v>5</v>
      </c>
      <c r="Q21" s="1">
        <f t="shared" si="2"/>
        <v>2108.5</v>
      </c>
      <c r="R21" s="1" t="s">
        <v>51</v>
      </c>
      <c r="S21" s="1">
        <f t="shared" si="9"/>
        <v>316.27499999999998</v>
      </c>
      <c r="T21" s="1">
        <f t="shared" si="10"/>
        <v>1792.2249999999999</v>
      </c>
      <c r="U21" s="1">
        <v>6</v>
      </c>
      <c r="V21" s="1">
        <f t="shared" si="11"/>
        <v>1850.2249999999999</v>
      </c>
      <c r="W21" s="1">
        <v>58</v>
      </c>
      <c r="X21" s="2">
        <v>45197</v>
      </c>
      <c r="Y21" s="1" t="s">
        <v>1579</v>
      </c>
      <c r="Z21" s="1">
        <f t="shared" si="12"/>
        <v>2166.5</v>
      </c>
      <c r="AA21" s="1">
        <f t="shared" si="3"/>
        <v>7</v>
      </c>
      <c r="AB21" s="1" t="str">
        <f t="shared" si="4"/>
        <v>Late</v>
      </c>
      <c r="AC21" s="1">
        <f t="shared" si="5"/>
        <v>2108.5</v>
      </c>
      <c r="AD21" s="7">
        <f t="shared" si="6"/>
        <v>0.15</v>
      </c>
      <c r="AE21" s="1">
        <f t="shared" si="7"/>
        <v>316.27499999999998</v>
      </c>
      <c r="AF21" s="1">
        <f t="shared" si="8"/>
        <v>374.27499999999998</v>
      </c>
    </row>
    <row r="22" spans="1:32" ht="14.25" customHeight="1" x14ac:dyDescent="0.3">
      <c r="A22" s="1" t="s">
        <v>42</v>
      </c>
      <c r="B22" s="1" t="s">
        <v>43</v>
      </c>
      <c r="C22" s="1" t="s">
        <v>44</v>
      </c>
      <c r="D22" s="1" t="str">
        <f t="shared" si="0"/>
        <v>Karl Gallagher</v>
      </c>
      <c r="E22" s="1">
        <v>60</v>
      </c>
      <c r="F22" s="1" t="s">
        <v>45</v>
      </c>
      <c r="G22" s="1" t="s">
        <v>23</v>
      </c>
      <c r="H22" s="1" t="s">
        <v>46</v>
      </c>
      <c r="I22" s="1" t="s">
        <v>47</v>
      </c>
      <c r="J22" s="1" t="s">
        <v>53</v>
      </c>
      <c r="K22" s="2">
        <v>45426</v>
      </c>
      <c r="L22" s="2" t="str">
        <f t="shared" si="1"/>
        <v>May</v>
      </c>
      <c r="M22" s="1" t="s">
        <v>54</v>
      </c>
      <c r="N22" s="1" t="s">
        <v>55</v>
      </c>
      <c r="O22" s="1">
        <v>405</v>
      </c>
      <c r="P22" s="1">
        <v>5</v>
      </c>
      <c r="Q22" s="1">
        <f t="shared" si="2"/>
        <v>2025</v>
      </c>
      <c r="R22" s="1" t="s">
        <v>56</v>
      </c>
      <c r="S22" s="1">
        <f t="shared" si="9"/>
        <v>0</v>
      </c>
      <c r="T22" s="1">
        <f t="shared" si="10"/>
        <v>2025</v>
      </c>
      <c r="U22" s="1">
        <v>6</v>
      </c>
      <c r="V22" s="1">
        <f t="shared" si="11"/>
        <v>2072</v>
      </c>
      <c r="W22" s="1">
        <v>47</v>
      </c>
      <c r="X22" s="2">
        <v>45430</v>
      </c>
      <c r="Y22" s="1" t="s">
        <v>57</v>
      </c>
      <c r="Z22" s="1">
        <f t="shared" si="12"/>
        <v>2072</v>
      </c>
      <c r="AA22" s="1">
        <f t="shared" si="3"/>
        <v>4</v>
      </c>
      <c r="AB22" s="1" t="str">
        <f t="shared" si="4"/>
        <v>BeforeTime</v>
      </c>
      <c r="AC22" s="1">
        <f t="shared" si="5"/>
        <v>2025</v>
      </c>
      <c r="AD22" s="7">
        <f t="shared" si="6"/>
        <v>0</v>
      </c>
      <c r="AE22" s="1">
        <f t="shared" si="7"/>
        <v>0</v>
      </c>
      <c r="AF22" s="1">
        <f t="shared" si="8"/>
        <v>0</v>
      </c>
    </row>
    <row r="23" spans="1:32" ht="14.25" customHeight="1" x14ac:dyDescent="0.3">
      <c r="A23" s="1" t="s">
        <v>121</v>
      </c>
      <c r="B23" s="1" t="s">
        <v>122</v>
      </c>
      <c r="C23" s="1" t="s">
        <v>123</v>
      </c>
      <c r="D23" s="1" t="str">
        <f t="shared" si="0"/>
        <v>Joseph Stewart</v>
      </c>
      <c r="E23" s="1">
        <v>30</v>
      </c>
      <c r="F23" s="1" t="s">
        <v>34</v>
      </c>
      <c r="G23" s="1" t="s">
        <v>35</v>
      </c>
      <c r="H23" s="1" t="s">
        <v>124</v>
      </c>
      <c r="I23" s="1" t="s">
        <v>125</v>
      </c>
      <c r="J23" s="1" t="s">
        <v>954</v>
      </c>
      <c r="K23" s="2">
        <v>45120</v>
      </c>
      <c r="L23" s="2" t="str">
        <f t="shared" si="1"/>
        <v>July</v>
      </c>
      <c r="M23" s="1" t="s">
        <v>955</v>
      </c>
      <c r="N23" s="1" t="s">
        <v>55</v>
      </c>
      <c r="O23" s="1">
        <v>405</v>
      </c>
      <c r="P23" s="1">
        <v>5</v>
      </c>
      <c r="Q23" s="1">
        <f t="shared" si="2"/>
        <v>2025</v>
      </c>
      <c r="R23" s="1" t="s">
        <v>89</v>
      </c>
      <c r="S23" s="1">
        <f t="shared" si="9"/>
        <v>202.5</v>
      </c>
      <c r="T23" s="1">
        <f t="shared" si="10"/>
        <v>1822.5</v>
      </c>
      <c r="U23" s="1">
        <v>6</v>
      </c>
      <c r="V23" s="1">
        <f t="shared" si="11"/>
        <v>1858.5</v>
      </c>
      <c r="W23" s="1">
        <v>36</v>
      </c>
      <c r="X23" s="2">
        <v>45127</v>
      </c>
      <c r="Y23" s="1" t="s">
        <v>956</v>
      </c>
      <c r="Z23" s="1">
        <f t="shared" si="12"/>
        <v>2061</v>
      </c>
      <c r="AA23" s="1">
        <f t="shared" si="3"/>
        <v>7</v>
      </c>
      <c r="AB23" s="1" t="str">
        <f t="shared" si="4"/>
        <v>Late</v>
      </c>
      <c r="AC23" s="1">
        <f t="shared" si="5"/>
        <v>2025</v>
      </c>
      <c r="AD23" s="7">
        <f t="shared" si="6"/>
        <v>0.1</v>
      </c>
      <c r="AE23" s="1">
        <f t="shared" si="7"/>
        <v>202.5</v>
      </c>
      <c r="AF23" s="1">
        <f t="shared" si="8"/>
        <v>238.5</v>
      </c>
    </row>
    <row r="24" spans="1:32" ht="14.25" customHeight="1" x14ac:dyDescent="0.3">
      <c r="A24" s="1" t="s">
        <v>220</v>
      </c>
      <c r="B24" s="1" t="s">
        <v>221</v>
      </c>
      <c r="C24" s="1" t="s">
        <v>222</v>
      </c>
      <c r="D24" s="1" t="str">
        <f t="shared" si="0"/>
        <v>John Herrera</v>
      </c>
      <c r="E24" s="1">
        <v>64</v>
      </c>
      <c r="F24" s="1" t="s">
        <v>34</v>
      </c>
      <c r="G24" s="1" t="s">
        <v>35</v>
      </c>
      <c r="H24" s="1" t="s">
        <v>223</v>
      </c>
      <c r="I24" s="1" t="s">
        <v>224</v>
      </c>
      <c r="J24" s="1" t="s">
        <v>810</v>
      </c>
      <c r="K24" s="2">
        <v>45094</v>
      </c>
      <c r="L24" s="2" t="str">
        <f t="shared" si="1"/>
        <v>June</v>
      </c>
      <c r="M24" s="1" t="s">
        <v>811</v>
      </c>
      <c r="N24" s="1" t="s">
        <v>583</v>
      </c>
      <c r="O24" s="1">
        <v>403.03</v>
      </c>
      <c r="P24" s="1">
        <v>5</v>
      </c>
      <c r="Q24" s="1">
        <f t="shared" si="2"/>
        <v>2015.1499999999999</v>
      </c>
      <c r="R24" s="1" t="s">
        <v>56</v>
      </c>
      <c r="S24" s="1">
        <f t="shared" si="9"/>
        <v>0</v>
      </c>
      <c r="T24" s="1">
        <f t="shared" si="10"/>
        <v>2015.1499999999999</v>
      </c>
      <c r="U24" s="1">
        <v>7</v>
      </c>
      <c r="V24" s="1">
        <f t="shared" si="11"/>
        <v>2067.1499999999996</v>
      </c>
      <c r="W24" s="1">
        <v>52</v>
      </c>
      <c r="X24" s="2">
        <v>45097</v>
      </c>
      <c r="Y24" s="1" t="s">
        <v>812</v>
      </c>
      <c r="Z24" s="1">
        <f t="shared" si="12"/>
        <v>2067.1499999999996</v>
      </c>
      <c r="AA24" s="1">
        <f t="shared" si="3"/>
        <v>3</v>
      </c>
      <c r="AB24" s="1" t="str">
        <f t="shared" si="4"/>
        <v>BeforeTime</v>
      </c>
      <c r="AC24" s="1">
        <f t="shared" si="5"/>
        <v>2015.1499999999999</v>
      </c>
      <c r="AD24" s="7">
        <f t="shared" si="6"/>
        <v>0</v>
      </c>
      <c r="AE24" s="1">
        <f t="shared" si="7"/>
        <v>0</v>
      </c>
      <c r="AF24" s="1">
        <f t="shared" si="8"/>
        <v>0</v>
      </c>
    </row>
    <row r="25" spans="1:32" ht="14.25" customHeight="1" x14ac:dyDescent="0.3">
      <c r="A25" s="1" t="s">
        <v>1203</v>
      </c>
      <c r="B25" s="1" t="s">
        <v>1204</v>
      </c>
      <c r="C25" s="1" t="s">
        <v>1205</v>
      </c>
      <c r="D25" s="1" t="str">
        <f t="shared" si="0"/>
        <v>Brendan Kelly</v>
      </c>
      <c r="E25" s="1">
        <v>50</v>
      </c>
      <c r="F25" s="1" t="s">
        <v>45</v>
      </c>
      <c r="G25" s="1" t="s">
        <v>161</v>
      </c>
      <c r="H25" s="1" t="s">
        <v>1206</v>
      </c>
      <c r="I25" s="1" t="s">
        <v>1207</v>
      </c>
      <c r="J25" s="1" t="s">
        <v>1208</v>
      </c>
      <c r="K25" s="2">
        <v>45470</v>
      </c>
      <c r="L25" s="2" t="str">
        <f t="shared" si="1"/>
        <v>June</v>
      </c>
      <c r="M25" s="1" t="s">
        <v>1209</v>
      </c>
      <c r="N25" s="1" t="s">
        <v>583</v>
      </c>
      <c r="O25" s="1">
        <v>403.03</v>
      </c>
      <c r="P25" s="1">
        <v>5</v>
      </c>
      <c r="Q25" s="1">
        <f t="shared" si="2"/>
        <v>2015.1499999999999</v>
      </c>
      <c r="R25" s="1" t="s">
        <v>78</v>
      </c>
      <c r="S25" s="1">
        <f t="shared" si="9"/>
        <v>403.03</v>
      </c>
      <c r="T25" s="1">
        <f t="shared" si="10"/>
        <v>1612.12</v>
      </c>
      <c r="U25" s="1">
        <v>2</v>
      </c>
      <c r="V25" s="1">
        <f t="shared" si="11"/>
        <v>1664.12</v>
      </c>
      <c r="W25" s="1">
        <v>52</v>
      </c>
      <c r="X25" s="2">
        <v>45475</v>
      </c>
      <c r="Y25" s="1" t="s">
        <v>1210</v>
      </c>
      <c r="Z25" s="1">
        <f t="shared" si="12"/>
        <v>2067.1499999999996</v>
      </c>
      <c r="AA25" s="1">
        <f t="shared" si="3"/>
        <v>5</v>
      </c>
      <c r="AB25" s="1" t="str">
        <f t="shared" si="4"/>
        <v>Late</v>
      </c>
      <c r="AC25" s="1">
        <f t="shared" si="5"/>
        <v>2015.1499999999999</v>
      </c>
      <c r="AD25" s="7">
        <f t="shared" si="6"/>
        <v>0.2</v>
      </c>
      <c r="AE25" s="1">
        <f t="shared" si="7"/>
        <v>403.03</v>
      </c>
      <c r="AF25" s="1">
        <f t="shared" si="8"/>
        <v>455.03</v>
      </c>
    </row>
    <row r="26" spans="1:32" ht="14.25" customHeight="1" x14ac:dyDescent="0.3">
      <c r="A26" s="1" t="s">
        <v>521</v>
      </c>
      <c r="B26" s="1" t="s">
        <v>387</v>
      </c>
      <c r="C26" s="1" t="s">
        <v>522</v>
      </c>
      <c r="D26" s="1" t="str">
        <f t="shared" si="0"/>
        <v>Jason Nguyen</v>
      </c>
      <c r="E26" s="1">
        <v>51</v>
      </c>
      <c r="F26" s="1" t="s">
        <v>45</v>
      </c>
      <c r="G26" s="1" t="s">
        <v>133</v>
      </c>
      <c r="H26" s="1" t="s">
        <v>523</v>
      </c>
      <c r="I26" s="1" t="s">
        <v>524</v>
      </c>
      <c r="J26" s="1" t="s">
        <v>525</v>
      </c>
      <c r="K26" s="2">
        <v>45277</v>
      </c>
      <c r="L26" s="2" t="str">
        <f t="shared" si="1"/>
        <v>December</v>
      </c>
      <c r="M26" s="1" t="s">
        <v>526</v>
      </c>
      <c r="N26" s="1" t="s">
        <v>349</v>
      </c>
      <c r="O26" s="1">
        <v>496.59</v>
      </c>
      <c r="P26" s="1">
        <v>4</v>
      </c>
      <c r="Q26" s="1">
        <f t="shared" si="2"/>
        <v>1986.36</v>
      </c>
      <c r="R26" s="1" t="s">
        <v>51</v>
      </c>
      <c r="S26" s="1">
        <f t="shared" si="9"/>
        <v>297.95399999999995</v>
      </c>
      <c r="T26" s="1">
        <f t="shared" si="10"/>
        <v>1688.4059999999999</v>
      </c>
      <c r="U26" s="1">
        <v>7</v>
      </c>
      <c r="V26" s="1">
        <f t="shared" si="11"/>
        <v>1724.4059999999999</v>
      </c>
      <c r="W26" s="1">
        <v>36</v>
      </c>
      <c r="X26" s="2">
        <v>45280</v>
      </c>
      <c r="Y26" s="1" t="s">
        <v>527</v>
      </c>
      <c r="Z26" s="1">
        <f t="shared" si="12"/>
        <v>2022.36</v>
      </c>
      <c r="AA26" s="1">
        <f t="shared" si="3"/>
        <v>3</v>
      </c>
      <c r="AB26" s="1" t="str">
        <f t="shared" si="4"/>
        <v>BeforeTime</v>
      </c>
      <c r="AC26" s="1">
        <f t="shared" si="5"/>
        <v>1986.36</v>
      </c>
      <c r="AD26" s="7">
        <f t="shared" si="6"/>
        <v>0.15</v>
      </c>
      <c r="AE26" s="1">
        <f t="shared" si="7"/>
        <v>297.95399999999995</v>
      </c>
      <c r="AF26" s="1">
        <f t="shared" si="8"/>
        <v>333.95399999999995</v>
      </c>
    </row>
    <row r="27" spans="1:32" ht="14.25" customHeight="1" x14ac:dyDescent="0.3">
      <c r="A27" s="1" t="s">
        <v>459</v>
      </c>
      <c r="B27" s="1" t="s">
        <v>460</v>
      </c>
      <c r="C27" s="1" t="s">
        <v>461</v>
      </c>
      <c r="D27" s="1" t="str">
        <f t="shared" si="0"/>
        <v>Lori Cook</v>
      </c>
      <c r="E27" s="1">
        <v>18</v>
      </c>
      <c r="F27" s="1" t="s">
        <v>34</v>
      </c>
      <c r="G27" s="1" t="s">
        <v>35</v>
      </c>
      <c r="H27" s="1" t="s">
        <v>462</v>
      </c>
      <c r="I27" s="1" t="s">
        <v>463</v>
      </c>
      <c r="J27" s="1" t="s">
        <v>929</v>
      </c>
      <c r="K27" s="2">
        <v>45535</v>
      </c>
      <c r="L27" s="2" t="str">
        <f t="shared" si="1"/>
        <v>August</v>
      </c>
      <c r="M27" s="1" t="s">
        <v>930</v>
      </c>
      <c r="N27" s="1" t="s">
        <v>349</v>
      </c>
      <c r="O27" s="1">
        <v>496.59</v>
      </c>
      <c r="P27" s="1">
        <v>4</v>
      </c>
      <c r="Q27" s="1">
        <f t="shared" si="2"/>
        <v>1986.36</v>
      </c>
      <c r="R27" s="1" t="s">
        <v>78</v>
      </c>
      <c r="S27" s="1">
        <f t="shared" si="9"/>
        <v>397.27199999999999</v>
      </c>
      <c r="T27" s="1">
        <f t="shared" si="10"/>
        <v>1589.088</v>
      </c>
      <c r="U27" s="1">
        <v>1</v>
      </c>
      <c r="V27" s="1">
        <f t="shared" si="11"/>
        <v>1648.088</v>
      </c>
      <c r="W27" s="1">
        <v>59</v>
      </c>
      <c r="X27" s="2">
        <v>45541</v>
      </c>
      <c r="Y27" s="1" t="s">
        <v>931</v>
      </c>
      <c r="Z27" s="1">
        <f t="shared" si="12"/>
        <v>2045.36</v>
      </c>
      <c r="AA27" s="1">
        <f t="shared" si="3"/>
        <v>6</v>
      </c>
      <c r="AB27" s="1" t="str">
        <f t="shared" si="4"/>
        <v>Late</v>
      </c>
      <c r="AC27" s="1">
        <f t="shared" si="5"/>
        <v>1986.36</v>
      </c>
      <c r="AD27" s="7">
        <f t="shared" si="6"/>
        <v>0.2</v>
      </c>
      <c r="AE27" s="1">
        <f t="shared" si="7"/>
        <v>397.27199999999999</v>
      </c>
      <c r="AF27" s="1">
        <f t="shared" si="8"/>
        <v>456.27199999999999</v>
      </c>
    </row>
    <row r="28" spans="1:32" ht="14.25" customHeight="1" x14ac:dyDescent="0.3">
      <c r="A28" s="1" t="s">
        <v>405</v>
      </c>
      <c r="B28" s="1" t="s">
        <v>221</v>
      </c>
      <c r="C28" s="1" t="s">
        <v>406</v>
      </c>
      <c r="D28" s="1" t="str">
        <f t="shared" si="0"/>
        <v>John Ramirez</v>
      </c>
      <c r="E28" s="1">
        <v>28</v>
      </c>
      <c r="F28" s="1" t="s">
        <v>45</v>
      </c>
      <c r="G28" s="1" t="s">
        <v>133</v>
      </c>
      <c r="H28" s="1" t="s">
        <v>407</v>
      </c>
      <c r="I28" s="1" t="s">
        <v>408</v>
      </c>
      <c r="J28" s="1" t="s">
        <v>575</v>
      </c>
      <c r="K28" s="2">
        <v>45443</v>
      </c>
      <c r="L28" s="2" t="str">
        <f t="shared" si="1"/>
        <v>May</v>
      </c>
      <c r="M28" s="1" t="s">
        <v>576</v>
      </c>
      <c r="N28" s="1" t="s">
        <v>316</v>
      </c>
      <c r="O28" s="1">
        <v>481.48</v>
      </c>
      <c r="P28" s="1">
        <v>4</v>
      </c>
      <c r="Q28" s="1">
        <f t="shared" si="2"/>
        <v>1925.92</v>
      </c>
      <c r="R28" s="1" t="s">
        <v>89</v>
      </c>
      <c r="S28" s="1">
        <f t="shared" si="9"/>
        <v>192.59200000000001</v>
      </c>
      <c r="T28" s="1">
        <f t="shared" si="10"/>
        <v>1733.328</v>
      </c>
      <c r="U28" s="1">
        <v>1</v>
      </c>
      <c r="V28" s="1">
        <f t="shared" si="11"/>
        <v>1769.328</v>
      </c>
      <c r="W28" s="1">
        <v>36</v>
      </c>
      <c r="X28" s="2">
        <v>45447</v>
      </c>
      <c r="Y28" s="1" t="s">
        <v>577</v>
      </c>
      <c r="Z28" s="1">
        <f t="shared" si="12"/>
        <v>1961.92</v>
      </c>
      <c r="AA28" s="1">
        <f t="shared" si="3"/>
        <v>4</v>
      </c>
      <c r="AB28" s="1" t="str">
        <f t="shared" si="4"/>
        <v>Late</v>
      </c>
      <c r="AC28" s="1">
        <f t="shared" si="5"/>
        <v>1925.92</v>
      </c>
      <c r="AD28" s="7">
        <f t="shared" si="6"/>
        <v>0.1</v>
      </c>
      <c r="AE28" s="1">
        <f t="shared" si="7"/>
        <v>192.59200000000001</v>
      </c>
      <c r="AF28" s="1">
        <f t="shared" si="8"/>
        <v>228.59200000000001</v>
      </c>
    </row>
    <row r="29" spans="1:32" ht="14.25" customHeight="1" x14ac:dyDescent="0.3">
      <c r="A29" s="1" t="s">
        <v>887</v>
      </c>
      <c r="B29" s="1" t="s">
        <v>141</v>
      </c>
      <c r="C29" s="1" t="s">
        <v>888</v>
      </c>
      <c r="D29" s="1" t="str">
        <f t="shared" si="0"/>
        <v>Amy Griffin</v>
      </c>
      <c r="E29" s="1">
        <v>29</v>
      </c>
      <c r="F29" s="1" t="s">
        <v>22</v>
      </c>
      <c r="G29" s="1" t="s">
        <v>35</v>
      </c>
      <c r="H29" s="1" t="s">
        <v>889</v>
      </c>
      <c r="I29" s="1" t="s">
        <v>890</v>
      </c>
      <c r="J29" s="1" t="s">
        <v>891</v>
      </c>
      <c r="K29" s="2">
        <v>45251</v>
      </c>
      <c r="L29" s="2" t="str">
        <f t="shared" si="1"/>
        <v>November</v>
      </c>
      <c r="M29" s="1" t="s">
        <v>892</v>
      </c>
      <c r="N29" s="1" t="s">
        <v>316</v>
      </c>
      <c r="O29" s="1">
        <v>481.48</v>
      </c>
      <c r="P29" s="1">
        <v>4</v>
      </c>
      <c r="Q29" s="1">
        <f t="shared" si="2"/>
        <v>1925.92</v>
      </c>
      <c r="R29" s="1" t="s">
        <v>56</v>
      </c>
      <c r="S29" s="1">
        <f t="shared" si="9"/>
        <v>0</v>
      </c>
      <c r="T29" s="1">
        <f t="shared" si="10"/>
        <v>1925.92</v>
      </c>
      <c r="U29" s="1">
        <v>3</v>
      </c>
      <c r="V29" s="1">
        <f t="shared" si="11"/>
        <v>1979.92</v>
      </c>
      <c r="W29" s="1">
        <v>54</v>
      </c>
      <c r="X29" s="2">
        <v>45256</v>
      </c>
      <c r="Y29" s="1" t="s">
        <v>893</v>
      </c>
      <c r="Z29" s="1">
        <f t="shared" si="12"/>
        <v>1979.92</v>
      </c>
      <c r="AA29" s="1">
        <f t="shared" si="3"/>
        <v>5</v>
      </c>
      <c r="AB29" s="1" t="str">
        <f t="shared" si="4"/>
        <v>Late</v>
      </c>
      <c r="AC29" s="1">
        <f t="shared" si="5"/>
        <v>1925.92</v>
      </c>
      <c r="AD29" s="7">
        <f t="shared" si="6"/>
        <v>0</v>
      </c>
      <c r="AE29" s="1">
        <f t="shared" si="7"/>
        <v>0</v>
      </c>
      <c r="AF29" s="1">
        <f t="shared" si="8"/>
        <v>0</v>
      </c>
    </row>
    <row r="30" spans="1:32" ht="14.25" customHeight="1" x14ac:dyDescent="0.3">
      <c r="A30" s="1" t="s">
        <v>265</v>
      </c>
      <c r="B30" s="1" t="s">
        <v>266</v>
      </c>
      <c r="C30" s="1" t="s">
        <v>267</v>
      </c>
      <c r="D30" s="1" t="str">
        <f t="shared" si="0"/>
        <v>Lauren Long</v>
      </c>
      <c r="E30" s="1">
        <v>44</v>
      </c>
      <c r="F30" s="1" t="s">
        <v>22</v>
      </c>
      <c r="G30" s="1" t="s">
        <v>213</v>
      </c>
      <c r="H30" s="1" t="s">
        <v>268</v>
      </c>
      <c r="I30" s="1" t="s">
        <v>269</v>
      </c>
      <c r="J30" s="1" t="s">
        <v>1258</v>
      </c>
      <c r="K30" s="2">
        <v>45659</v>
      </c>
      <c r="L30" s="2" t="str">
        <f t="shared" si="1"/>
        <v>January</v>
      </c>
      <c r="M30" s="1" t="s">
        <v>1259</v>
      </c>
      <c r="N30" s="1" t="s">
        <v>316</v>
      </c>
      <c r="O30" s="1">
        <v>481.48</v>
      </c>
      <c r="P30" s="1">
        <v>4</v>
      </c>
      <c r="Q30" s="1">
        <f t="shared" si="2"/>
        <v>1925.92</v>
      </c>
      <c r="R30" s="1" t="s">
        <v>51</v>
      </c>
      <c r="S30" s="1">
        <f t="shared" si="9"/>
        <v>288.88799999999998</v>
      </c>
      <c r="T30" s="1">
        <f t="shared" si="10"/>
        <v>1637.0320000000002</v>
      </c>
      <c r="U30" s="1">
        <v>4</v>
      </c>
      <c r="V30" s="1">
        <f t="shared" si="11"/>
        <v>1704.0320000000002</v>
      </c>
      <c r="W30" s="1">
        <v>67</v>
      </c>
      <c r="X30" s="2">
        <v>45665</v>
      </c>
      <c r="Y30" s="1" t="s">
        <v>1260</v>
      </c>
      <c r="Z30" s="1">
        <f t="shared" si="12"/>
        <v>1992.92</v>
      </c>
      <c r="AA30" s="1">
        <f t="shared" si="3"/>
        <v>6</v>
      </c>
      <c r="AB30" s="1" t="str">
        <f t="shared" si="4"/>
        <v>Late</v>
      </c>
      <c r="AC30" s="1">
        <f t="shared" si="5"/>
        <v>1925.92</v>
      </c>
      <c r="AD30" s="7">
        <f t="shared" si="6"/>
        <v>0.15</v>
      </c>
      <c r="AE30" s="1">
        <f t="shared" si="7"/>
        <v>288.88799999999998</v>
      </c>
      <c r="AF30" s="1">
        <f t="shared" si="8"/>
        <v>355.88799999999998</v>
      </c>
    </row>
    <row r="31" spans="1:32" ht="14.25" customHeight="1" x14ac:dyDescent="0.3">
      <c r="A31" s="1" t="s">
        <v>1325</v>
      </c>
      <c r="B31" s="1" t="s">
        <v>1326</v>
      </c>
      <c r="C31" s="1" t="s">
        <v>388</v>
      </c>
      <c r="D31" s="1" t="str">
        <f t="shared" si="0"/>
        <v>Veronica Lopez</v>
      </c>
      <c r="E31" s="1">
        <v>18</v>
      </c>
      <c r="F31" s="1" t="s">
        <v>34</v>
      </c>
      <c r="G31" s="1" t="s">
        <v>213</v>
      </c>
      <c r="H31" s="1" t="s">
        <v>1327</v>
      </c>
      <c r="I31" s="1" t="s">
        <v>1328</v>
      </c>
      <c r="J31" s="1" t="s">
        <v>1329</v>
      </c>
      <c r="K31" s="2">
        <v>45332</v>
      </c>
      <c r="L31" s="2" t="str">
        <f t="shared" si="1"/>
        <v>February</v>
      </c>
      <c r="M31" s="1" t="s">
        <v>1330</v>
      </c>
      <c r="N31" s="1" t="s">
        <v>316</v>
      </c>
      <c r="O31" s="1">
        <v>481.48</v>
      </c>
      <c r="P31" s="1">
        <v>4</v>
      </c>
      <c r="Q31" s="1">
        <f t="shared" si="2"/>
        <v>1925.92</v>
      </c>
      <c r="R31" s="1" t="s">
        <v>56</v>
      </c>
      <c r="S31" s="1">
        <f t="shared" si="9"/>
        <v>0</v>
      </c>
      <c r="T31" s="1">
        <f t="shared" si="10"/>
        <v>1925.92</v>
      </c>
      <c r="U31" s="1">
        <v>2</v>
      </c>
      <c r="V31" s="1">
        <f t="shared" si="11"/>
        <v>1986.92</v>
      </c>
      <c r="W31" s="1">
        <v>61</v>
      </c>
      <c r="X31" s="2">
        <v>45338</v>
      </c>
      <c r="Y31" s="1" t="s">
        <v>1331</v>
      </c>
      <c r="Z31" s="1">
        <f t="shared" si="12"/>
        <v>1986.92</v>
      </c>
      <c r="AA31" s="1">
        <f t="shared" si="3"/>
        <v>6</v>
      </c>
      <c r="AB31" s="1" t="str">
        <f t="shared" si="4"/>
        <v>Late</v>
      </c>
      <c r="AC31" s="1">
        <f t="shared" si="5"/>
        <v>1925.92</v>
      </c>
      <c r="AD31" s="7">
        <f t="shared" si="6"/>
        <v>0</v>
      </c>
      <c r="AE31" s="1">
        <f t="shared" si="7"/>
        <v>0</v>
      </c>
      <c r="AF31" s="1">
        <f t="shared" si="8"/>
        <v>0</v>
      </c>
    </row>
    <row r="32" spans="1:32" ht="14.25" customHeight="1" x14ac:dyDescent="0.3">
      <c r="A32" s="1" t="s">
        <v>1720</v>
      </c>
      <c r="B32" s="1" t="s">
        <v>1721</v>
      </c>
      <c r="C32" s="1" t="s">
        <v>361</v>
      </c>
      <c r="D32" s="1" t="str">
        <f t="shared" si="0"/>
        <v>Katie Hicks</v>
      </c>
      <c r="E32" s="1">
        <v>34</v>
      </c>
      <c r="F32" s="1" t="s">
        <v>45</v>
      </c>
      <c r="G32" s="1" t="s">
        <v>152</v>
      </c>
      <c r="H32" s="1" t="s">
        <v>1722</v>
      </c>
      <c r="I32" s="1" t="s">
        <v>1723</v>
      </c>
      <c r="J32" s="1" t="s">
        <v>1724</v>
      </c>
      <c r="K32" s="2">
        <v>45646</v>
      </c>
      <c r="L32" s="2" t="str">
        <f t="shared" si="1"/>
        <v>December</v>
      </c>
      <c r="M32" s="1" t="s">
        <v>1725</v>
      </c>
      <c r="N32" s="1" t="s">
        <v>316</v>
      </c>
      <c r="O32" s="1">
        <v>481.48</v>
      </c>
      <c r="P32" s="1">
        <v>4</v>
      </c>
      <c r="Q32" s="1">
        <f t="shared" si="2"/>
        <v>1925.92</v>
      </c>
      <c r="R32" s="1" t="s">
        <v>51</v>
      </c>
      <c r="S32" s="1">
        <f t="shared" si="9"/>
        <v>288.88799999999998</v>
      </c>
      <c r="T32" s="1">
        <f t="shared" si="10"/>
        <v>1637.0320000000002</v>
      </c>
      <c r="U32" s="1">
        <v>4</v>
      </c>
      <c r="V32" s="1">
        <f t="shared" si="11"/>
        <v>1675.0320000000002</v>
      </c>
      <c r="W32" s="1">
        <v>38</v>
      </c>
      <c r="X32" s="2">
        <v>45647</v>
      </c>
      <c r="Y32" s="1" t="s">
        <v>1726</v>
      </c>
      <c r="Z32" s="1">
        <f t="shared" si="12"/>
        <v>1963.92</v>
      </c>
      <c r="AA32" s="1">
        <f t="shared" si="3"/>
        <v>1</v>
      </c>
      <c r="AB32" s="1" t="str">
        <f t="shared" si="4"/>
        <v>BeforeTime</v>
      </c>
      <c r="AC32" s="1">
        <f t="shared" si="5"/>
        <v>1925.92</v>
      </c>
      <c r="AD32" s="7">
        <f t="shared" si="6"/>
        <v>0.15</v>
      </c>
      <c r="AE32" s="1">
        <f t="shared" si="7"/>
        <v>288.88799999999998</v>
      </c>
      <c r="AF32" s="1">
        <f t="shared" si="8"/>
        <v>326.88799999999998</v>
      </c>
    </row>
    <row r="33" spans="1:32" ht="14.25" customHeight="1" x14ac:dyDescent="0.3">
      <c r="A33" s="1" t="s">
        <v>539</v>
      </c>
      <c r="B33" s="1" t="s">
        <v>540</v>
      </c>
      <c r="C33" s="1" t="s">
        <v>541</v>
      </c>
      <c r="D33" s="1" t="str">
        <f t="shared" si="0"/>
        <v>Jodi Whitney</v>
      </c>
      <c r="E33" s="1">
        <v>33</v>
      </c>
      <c r="F33" s="1" t="s">
        <v>45</v>
      </c>
      <c r="G33" s="1" t="s">
        <v>161</v>
      </c>
      <c r="H33" s="1" t="s">
        <v>542</v>
      </c>
      <c r="I33" s="1" t="s">
        <v>543</v>
      </c>
      <c r="J33" s="1" t="s">
        <v>1069</v>
      </c>
      <c r="K33" s="2">
        <v>45125</v>
      </c>
      <c r="L33" s="2" t="str">
        <f t="shared" si="1"/>
        <v>July</v>
      </c>
      <c r="M33" s="1" t="s">
        <v>1070</v>
      </c>
      <c r="N33" s="1" t="s">
        <v>566</v>
      </c>
      <c r="O33" s="1">
        <v>477.52</v>
      </c>
      <c r="P33" s="1">
        <v>4</v>
      </c>
      <c r="Q33" s="1">
        <f t="shared" si="2"/>
        <v>1910.08</v>
      </c>
      <c r="R33" s="1" t="s">
        <v>78</v>
      </c>
      <c r="S33" s="1">
        <f t="shared" si="9"/>
        <v>382.01600000000002</v>
      </c>
      <c r="T33" s="1">
        <f t="shared" si="10"/>
        <v>1528.0639999999999</v>
      </c>
      <c r="U33" s="1">
        <v>5</v>
      </c>
      <c r="V33" s="1">
        <f t="shared" si="11"/>
        <v>1583.0639999999999</v>
      </c>
      <c r="W33" s="1">
        <v>55</v>
      </c>
      <c r="X33" s="2">
        <v>45127</v>
      </c>
      <c r="Y33" s="1" t="s">
        <v>1071</v>
      </c>
      <c r="Z33" s="1">
        <f t="shared" si="12"/>
        <v>1965.08</v>
      </c>
      <c r="AA33" s="1">
        <f t="shared" si="3"/>
        <v>2</v>
      </c>
      <c r="AB33" s="1" t="str">
        <f t="shared" si="4"/>
        <v>BeforeTime</v>
      </c>
      <c r="AC33" s="1">
        <f t="shared" si="5"/>
        <v>1910.08</v>
      </c>
      <c r="AD33" s="7">
        <f t="shared" si="6"/>
        <v>0.2</v>
      </c>
      <c r="AE33" s="1">
        <f t="shared" si="7"/>
        <v>382.01600000000002</v>
      </c>
      <c r="AF33" s="1">
        <f t="shared" si="8"/>
        <v>437.01600000000002</v>
      </c>
    </row>
    <row r="34" spans="1:32" ht="14.25" customHeight="1" x14ac:dyDescent="0.3">
      <c r="A34" s="1" t="s">
        <v>1925</v>
      </c>
      <c r="B34" s="1" t="s">
        <v>1926</v>
      </c>
      <c r="C34" s="1" t="s">
        <v>1927</v>
      </c>
      <c r="D34" s="1" t="str">
        <f t="shared" si="0"/>
        <v>Diana French</v>
      </c>
      <c r="E34" s="1">
        <v>54</v>
      </c>
      <c r="F34" s="1" t="s">
        <v>34</v>
      </c>
      <c r="G34" s="1" t="s">
        <v>69</v>
      </c>
      <c r="H34" s="1" t="s">
        <v>1928</v>
      </c>
      <c r="I34" s="1" t="s">
        <v>1929</v>
      </c>
      <c r="J34" s="1" t="s">
        <v>1978</v>
      </c>
      <c r="K34" s="2">
        <v>45353</v>
      </c>
      <c r="L34" s="2" t="str">
        <f t="shared" si="1"/>
        <v>March</v>
      </c>
      <c r="M34" s="1" t="s">
        <v>1979</v>
      </c>
      <c r="N34" s="1" t="s">
        <v>566</v>
      </c>
      <c r="O34" s="1">
        <v>477.52</v>
      </c>
      <c r="P34" s="1">
        <v>4</v>
      </c>
      <c r="Q34" s="1">
        <f t="shared" si="2"/>
        <v>1910.08</v>
      </c>
      <c r="R34" s="1" t="s">
        <v>89</v>
      </c>
      <c r="S34" s="1">
        <f t="shared" si="9"/>
        <v>191.00800000000001</v>
      </c>
      <c r="T34" s="1">
        <f t="shared" si="10"/>
        <v>1719.0719999999999</v>
      </c>
      <c r="U34" s="1">
        <v>3</v>
      </c>
      <c r="V34" s="1">
        <f t="shared" si="11"/>
        <v>1773.0719999999999</v>
      </c>
      <c r="W34" s="1">
        <v>54</v>
      </c>
      <c r="X34" s="2">
        <v>45354</v>
      </c>
      <c r="Y34" s="1" t="s">
        <v>1980</v>
      </c>
      <c r="Z34" s="1">
        <f t="shared" si="12"/>
        <v>1964.08</v>
      </c>
      <c r="AA34" s="1">
        <f t="shared" si="3"/>
        <v>1</v>
      </c>
      <c r="AB34" s="1" t="str">
        <f t="shared" si="4"/>
        <v>BeforeTime</v>
      </c>
      <c r="AC34" s="1">
        <f t="shared" si="5"/>
        <v>1910.08</v>
      </c>
      <c r="AD34" s="7">
        <f t="shared" ref="AD34:AD65" si="13">IF(R34="FLAT8",8%,IF(R34="FLAT10",10%,IF(R34="FLAT15",15%,IF(R34="FLAT20",20%,0))))</f>
        <v>0.1</v>
      </c>
      <c r="AE34" s="1">
        <f t="shared" ref="AE34:AE65" si="14">Q34*AD34</f>
        <v>191.00800000000001</v>
      </c>
      <c r="AF34" s="1">
        <f t="shared" si="8"/>
        <v>245.00800000000001</v>
      </c>
    </row>
    <row r="35" spans="1:32" ht="14.25" customHeight="1" x14ac:dyDescent="0.3">
      <c r="A35" s="1" t="s">
        <v>979</v>
      </c>
      <c r="B35" s="1" t="s">
        <v>980</v>
      </c>
      <c r="C35" s="1" t="s">
        <v>981</v>
      </c>
      <c r="D35" s="1" t="str">
        <f t="shared" si="0"/>
        <v>Natasha Michael</v>
      </c>
      <c r="E35" s="1">
        <v>49</v>
      </c>
      <c r="F35" s="1" t="s">
        <v>22</v>
      </c>
      <c r="G35" s="1" t="s">
        <v>35</v>
      </c>
      <c r="H35" s="1" t="s">
        <v>982</v>
      </c>
      <c r="I35" s="1" t="s">
        <v>983</v>
      </c>
      <c r="J35" s="1" t="s">
        <v>1249</v>
      </c>
      <c r="K35" s="2">
        <v>45233</v>
      </c>
      <c r="L35" s="2" t="str">
        <f t="shared" si="1"/>
        <v>November</v>
      </c>
      <c r="M35" s="1" t="s">
        <v>1250</v>
      </c>
      <c r="N35" s="1" t="s">
        <v>741</v>
      </c>
      <c r="O35" s="1">
        <v>381.73</v>
      </c>
      <c r="P35" s="1">
        <v>5</v>
      </c>
      <c r="Q35" s="1">
        <f t="shared" si="2"/>
        <v>1908.65</v>
      </c>
      <c r="R35" s="1" t="s">
        <v>29</v>
      </c>
      <c r="S35" s="1">
        <f t="shared" si="9"/>
        <v>152.69200000000001</v>
      </c>
      <c r="T35" s="1">
        <f t="shared" si="10"/>
        <v>1755.9580000000001</v>
      </c>
      <c r="U35" s="1">
        <v>7</v>
      </c>
      <c r="V35" s="1">
        <f t="shared" si="11"/>
        <v>1800.9580000000001</v>
      </c>
      <c r="W35" s="1">
        <v>45</v>
      </c>
      <c r="X35" s="2">
        <v>45236</v>
      </c>
      <c r="Y35" s="1" t="s">
        <v>1251</v>
      </c>
      <c r="Z35" s="1">
        <f t="shared" si="12"/>
        <v>1953.65</v>
      </c>
      <c r="AA35" s="1">
        <f t="shared" si="3"/>
        <v>3</v>
      </c>
      <c r="AB35" s="1" t="str">
        <f t="shared" si="4"/>
        <v>BeforeTime</v>
      </c>
      <c r="AC35" s="1">
        <f t="shared" si="5"/>
        <v>1908.65</v>
      </c>
      <c r="AD35" s="7">
        <f t="shared" si="13"/>
        <v>0.08</v>
      </c>
      <c r="AE35" s="1">
        <f t="shared" si="14"/>
        <v>152.69200000000001</v>
      </c>
      <c r="AF35" s="1">
        <f t="shared" si="8"/>
        <v>197.69200000000001</v>
      </c>
    </row>
    <row r="36" spans="1:32" ht="14.25" customHeight="1" x14ac:dyDescent="0.3">
      <c r="A36" s="1" t="s">
        <v>816</v>
      </c>
      <c r="B36" s="1" t="s">
        <v>817</v>
      </c>
      <c r="C36" s="1" t="s">
        <v>818</v>
      </c>
      <c r="D36" s="1" t="str">
        <f t="shared" si="0"/>
        <v>Edward Black</v>
      </c>
      <c r="E36" s="1">
        <v>42</v>
      </c>
      <c r="F36" s="1" t="s">
        <v>22</v>
      </c>
      <c r="G36" s="1" t="s">
        <v>69</v>
      </c>
      <c r="H36" s="1" t="s">
        <v>819</v>
      </c>
      <c r="I36" s="1" t="s">
        <v>820</v>
      </c>
      <c r="J36" s="1" t="s">
        <v>1933</v>
      </c>
      <c r="K36" s="2">
        <v>45596</v>
      </c>
      <c r="L36" s="2" t="str">
        <f t="shared" si="1"/>
        <v>October</v>
      </c>
      <c r="M36" s="1" t="s">
        <v>1934</v>
      </c>
      <c r="N36" s="1" t="s">
        <v>741</v>
      </c>
      <c r="O36" s="1">
        <v>381.73</v>
      </c>
      <c r="P36" s="1">
        <v>5</v>
      </c>
      <c r="Q36" s="1">
        <f t="shared" si="2"/>
        <v>1908.65</v>
      </c>
      <c r="R36" s="1" t="s">
        <v>51</v>
      </c>
      <c r="S36" s="1">
        <f t="shared" si="9"/>
        <v>286.29750000000001</v>
      </c>
      <c r="T36" s="1">
        <f t="shared" si="10"/>
        <v>1622.3525</v>
      </c>
      <c r="U36" s="1">
        <v>1</v>
      </c>
      <c r="V36" s="1">
        <f t="shared" si="11"/>
        <v>1675.3525</v>
      </c>
      <c r="W36" s="1">
        <v>53</v>
      </c>
      <c r="X36" s="2">
        <v>45603</v>
      </c>
      <c r="Y36" s="1" t="s">
        <v>1935</v>
      </c>
      <c r="Z36" s="1">
        <f t="shared" si="12"/>
        <v>1961.65</v>
      </c>
      <c r="AA36" s="1">
        <f t="shared" si="3"/>
        <v>7</v>
      </c>
      <c r="AB36" s="1" t="str">
        <f t="shared" si="4"/>
        <v>Late</v>
      </c>
      <c r="AC36" s="1">
        <f t="shared" si="5"/>
        <v>1908.65</v>
      </c>
      <c r="AD36" s="7">
        <f t="shared" si="13"/>
        <v>0.15</v>
      </c>
      <c r="AE36" s="1">
        <f t="shared" si="14"/>
        <v>286.29750000000001</v>
      </c>
      <c r="AF36" s="1">
        <f t="shared" si="8"/>
        <v>339.29750000000001</v>
      </c>
    </row>
    <row r="37" spans="1:32" ht="14.25" customHeight="1" x14ac:dyDescent="0.3">
      <c r="A37" s="1" t="s">
        <v>1450</v>
      </c>
      <c r="B37" s="1" t="s">
        <v>266</v>
      </c>
      <c r="C37" s="1" t="s">
        <v>1451</v>
      </c>
      <c r="D37" s="1" t="str">
        <f t="shared" si="0"/>
        <v>Lauren Lane</v>
      </c>
      <c r="E37" s="1">
        <v>30</v>
      </c>
      <c r="F37" s="1" t="s">
        <v>22</v>
      </c>
      <c r="G37" s="1" t="s">
        <v>213</v>
      </c>
      <c r="H37" s="1" t="s">
        <v>1452</v>
      </c>
      <c r="I37" s="1" t="s">
        <v>1453</v>
      </c>
      <c r="J37" s="1" t="s">
        <v>1690</v>
      </c>
      <c r="K37" s="2">
        <v>45361</v>
      </c>
      <c r="L37" s="2" t="str">
        <f t="shared" si="1"/>
        <v>March</v>
      </c>
      <c r="M37" s="1" t="s">
        <v>1691</v>
      </c>
      <c r="N37" s="1" t="s">
        <v>337</v>
      </c>
      <c r="O37" s="1">
        <v>372.62</v>
      </c>
      <c r="P37" s="1">
        <v>5</v>
      </c>
      <c r="Q37" s="1">
        <f t="shared" si="2"/>
        <v>1863.1</v>
      </c>
      <c r="R37" s="1" t="s">
        <v>29</v>
      </c>
      <c r="S37" s="1">
        <f t="shared" si="9"/>
        <v>149.048</v>
      </c>
      <c r="T37" s="1">
        <f t="shared" si="10"/>
        <v>1714.0519999999999</v>
      </c>
      <c r="U37" s="1">
        <v>4</v>
      </c>
      <c r="V37" s="1">
        <f t="shared" si="11"/>
        <v>1780.0519999999999</v>
      </c>
      <c r="W37" s="1">
        <v>66</v>
      </c>
      <c r="X37" s="2">
        <v>45364</v>
      </c>
      <c r="Y37" s="1" t="s">
        <v>1692</v>
      </c>
      <c r="Z37" s="1">
        <f t="shared" si="12"/>
        <v>1929.1</v>
      </c>
      <c r="AA37" s="1">
        <f t="shared" si="3"/>
        <v>3</v>
      </c>
      <c r="AB37" s="1" t="str">
        <f t="shared" si="4"/>
        <v>BeforeTime</v>
      </c>
      <c r="AC37" s="1">
        <f t="shared" si="5"/>
        <v>1863.1</v>
      </c>
      <c r="AD37" s="7">
        <f t="shared" si="13"/>
        <v>0.08</v>
      </c>
      <c r="AE37" s="1">
        <f t="shared" si="14"/>
        <v>149.048</v>
      </c>
      <c r="AF37" s="1">
        <f t="shared" si="8"/>
        <v>215.048</v>
      </c>
    </row>
    <row r="38" spans="1:32" ht="14.25" customHeight="1" x14ac:dyDescent="0.3">
      <c r="A38" s="1" t="s">
        <v>1214</v>
      </c>
      <c r="B38" s="1" t="s">
        <v>1215</v>
      </c>
      <c r="C38" s="1" t="s">
        <v>1216</v>
      </c>
      <c r="D38" s="1" t="str">
        <f t="shared" si="0"/>
        <v>Jessica Ruiz</v>
      </c>
      <c r="E38" s="1">
        <v>19</v>
      </c>
      <c r="F38" s="1" t="s">
        <v>34</v>
      </c>
      <c r="G38" s="1" t="s">
        <v>69</v>
      </c>
      <c r="H38" s="1" t="s">
        <v>1217</v>
      </c>
      <c r="I38" s="1" t="s">
        <v>1218</v>
      </c>
      <c r="J38" s="1" t="s">
        <v>1342</v>
      </c>
      <c r="K38" s="2">
        <v>45017</v>
      </c>
      <c r="L38" s="2" t="str">
        <f t="shared" si="1"/>
        <v>April</v>
      </c>
      <c r="M38" s="1" t="s">
        <v>1343</v>
      </c>
      <c r="N38" s="1" t="s">
        <v>218</v>
      </c>
      <c r="O38" s="1">
        <v>461.07</v>
      </c>
      <c r="P38" s="1">
        <v>4</v>
      </c>
      <c r="Q38" s="1">
        <f t="shared" si="2"/>
        <v>1844.28</v>
      </c>
      <c r="R38" s="1" t="s">
        <v>56</v>
      </c>
      <c r="S38" s="1">
        <f t="shared" si="9"/>
        <v>0</v>
      </c>
      <c r="T38" s="1">
        <f t="shared" si="10"/>
        <v>1844.28</v>
      </c>
      <c r="U38" s="1">
        <v>6</v>
      </c>
      <c r="V38" s="1">
        <f t="shared" si="11"/>
        <v>1890.28</v>
      </c>
      <c r="W38" s="1">
        <v>46</v>
      </c>
      <c r="X38" s="2">
        <v>45022</v>
      </c>
      <c r="Y38" s="1" t="s">
        <v>1344</v>
      </c>
      <c r="Z38" s="1">
        <f t="shared" si="12"/>
        <v>1890.28</v>
      </c>
      <c r="AA38" s="1">
        <f t="shared" si="3"/>
        <v>5</v>
      </c>
      <c r="AB38" s="1" t="str">
        <f t="shared" si="4"/>
        <v>BeforeTime</v>
      </c>
      <c r="AC38" s="1">
        <f t="shared" si="5"/>
        <v>1844.28</v>
      </c>
      <c r="AD38" s="7">
        <f t="shared" si="13"/>
        <v>0</v>
      </c>
      <c r="AE38" s="1">
        <f t="shared" si="14"/>
        <v>0</v>
      </c>
      <c r="AF38" s="1">
        <f t="shared" si="8"/>
        <v>0</v>
      </c>
    </row>
    <row r="39" spans="1:32" ht="14.25" customHeight="1" x14ac:dyDescent="0.3">
      <c r="A39" s="1" t="s">
        <v>1607</v>
      </c>
      <c r="B39" s="1" t="s">
        <v>266</v>
      </c>
      <c r="C39" s="1" t="s">
        <v>1608</v>
      </c>
      <c r="D39" s="1" t="str">
        <f t="shared" si="0"/>
        <v>Lauren Crane</v>
      </c>
      <c r="E39" s="1">
        <v>62</v>
      </c>
      <c r="F39" s="1" t="s">
        <v>34</v>
      </c>
      <c r="G39" s="1" t="s">
        <v>35</v>
      </c>
      <c r="H39" s="1" t="s">
        <v>1609</v>
      </c>
      <c r="I39" s="1" t="s">
        <v>1610</v>
      </c>
      <c r="J39" s="1" t="s">
        <v>1711</v>
      </c>
      <c r="K39" s="2">
        <v>45344</v>
      </c>
      <c r="L39" s="2" t="str">
        <f t="shared" si="1"/>
        <v>February</v>
      </c>
      <c r="M39" s="1" t="s">
        <v>1712</v>
      </c>
      <c r="N39" s="1" t="s">
        <v>218</v>
      </c>
      <c r="O39" s="1">
        <v>461.07</v>
      </c>
      <c r="P39" s="1">
        <v>4</v>
      </c>
      <c r="Q39" s="1">
        <f t="shared" si="2"/>
        <v>1844.28</v>
      </c>
      <c r="R39" s="1" t="s">
        <v>51</v>
      </c>
      <c r="S39" s="1">
        <f t="shared" si="9"/>
        <v>276.642</v>
      </c>
      <c r="T39" s="1">
        <f t="shared" si="10"/>
        <v>1567.6379999999999</v>
      </c>
      <c r="U39" s="1">
        <v>1</v>
      </c>
      <c r="V39" s="1">
        <f t="shared" si="11"/>
        <v>1633.6379999999999</v>
      </c>
      <c r="W39" s="1">
        <v>66</v>
      </c>
      <c r="X39" s="2">
        <v>45346</v>
      </c>
      <c r="Y39" s="1" t="s">
        <v>1713</v>
      </c>
      <c r="Z39" s="1">
        <f t="shared" si="12"/>
        <v>1910.28</v>
      </c>
      <c r="AA39" s="1">
        <f t="shared" si="3"/>
        <v>2</v>
      </c>
      <c r="AB39" s="1" t="str">
        <f t="shared" si="4"/>
        <v>Late</v>
      </c>
      <c r="AC39" s="1">
        <f t="shared" si="5"/>
        <v>1844.28</v>
      </c>
      <c r="AD39" s="7">
        <f t="shared" si="13"/>
        <v>0.15</v>
      </c>
      <c r="AE39" s="1">
        <f t="shared" si="14"/>
        <v>276.642</v>
      </c>
      <c r="AF39" s="1">
        <f t="shared" si="8"/>
        <v>342.642</v>
      </c>
    </row>
    <row r="40" spans="1:32" ht="14.25" customHeight="1" x14ac:dyDescent="0.3">
      <c r="A40" s="1" t="s">
        <v>476</v>
      </c>
      <c r="B40" s="1" t="s">
        <v>477</v>
      </c>
      <c r="C40" s="1" t="s">
        <v>123</v>
      </c>
      <c r="D40" s="1" t="str">
        <f t="shared" si="0"/>
        <v>Brittany Stewart</v>
      </c>
      <c r="E40" s="1">
        <v>68</v>
      </c>
      <c r="F40" s="1" t="s">
        <v>45</v>
      </c>
      <c r="G40" s="1" t="s">
        <v>213</v>
      </c>
      <c r="H40" s="1" t="s">
        <v>478</v>
      </c>
      <c r="I40" s="1" t="s">
        <v>479</v>
      </c>
      <c r="J40" s="1" t="s">
        <v>1200</v>
      </c>
      <c r="K40" s="2">
        <v>45417</v>
      </c>
      <c r="L40" s="2" t="str">
        <f t="shared" si="1"/>
        <v>May</v>
      </c>
      <c r="M40" s="1" t="s">
        <v>1201</v>
      </c>
      <c r="N40" s="1" t="s">
        <v>88</v>
      </c>
      <c r="O40" s="1">
        <v>363.64</v>
      </c>
      <c r="P40" s="1">
        <v>5</v>
      </c>
      <c r="Q40" s="1">
        <f t="shared" si="2"/>
        <v>1818.1999999999998</v>
      </c>
      <c r="R40" s="1" t="s">
        <v>89</v>
      </c>
      <c r="S40" s="1">
        <f t="shared" si="9"/>
        <v>181.82</v>
      </c>
      <c r="T40" s="1">
        <f t="shared" si="10"/>
        <v>1636.3799999999999</v>
      </c>
      <c r="U40" s="1">
        <v>7</v>
      </c>
      <c r="V40" s="1">
        <f t="shared" si="11"/>
        <v>1696.3799999999999</v>
      </c>
      <c r="W40" s="1">
        <v>60</v>
      </c>
      <c r="X40" s="2">
        <v>45419</v>
      </c>
      <c r="Y40" s="1" t="s">
        <v>1202</v>
      </c>
      <c r="Z40" s="1">
        <f t="shared" si="12"/>
        <v>1878.1999999999998</v>
      </c>
      <c r="AA40" s="1">
        <f t="shared" si="3"/>
        <v>2</v>
      </c>
      <c r="AB40" s="1" t="str">
        <f t="shared" si="4"/>
        <v>BeforeTime</v>
      </c>
      <c r="AC40" s="1">
        <f t="shared" si="5"/>
        <v>1818.1999999999998</v>
      </c>
      <c r="AD40" s="7">
        <f t="shared" si="13"/>
        <v>0.1</v>
      </c>
      <c r="AE40" s="1">
        <f t="shared" si="14"/>
        <v>181.82</v>
      </c>
      <c r="AF40" s="1">
        <f t="shared" si="8"/>
        <v>241.82</v>
      </c>
    </row>
    <row r="41" spans="1:32" ht="14.25" customHeight="1" x14ac:dyDescent="0.3">
      <c r="A41" s="1" t="s">
        <v>840</v>
      </c>
      <c r="B41" s="1" t="s">
        <v>841</v>
      </c>
      <c r="C41" s="1" t="s">
        <v>380</v>
      </c>
      <c r="D41" s="1" t="str">
        <f t="shared" si="0"/>
        <v>Susan Thompson</v>
      </c>
      <c r="E41" s="1">
        <v>37</v>
      </c>
      <c r="F41" s="1" t="s">
        <v>45</v>
      </c>
      <c r="G41" s="1" t="s">
        <v>213</v>
      </c>
      <c r="H41" s="1" t="s">
        <v>842</v>
      </c>
      <c r="I41" s="1" t="s">
        <v>843</v>
      </c>
      <c r="J41" s="1" t="s">
        <v>844</v>
      </c>
      <c r="K41" s="2">
        <v>45249</v>
      </c>
      <c r="L41" s="2" t="str">
        <f t="shared" si="1"/>
        <v>November</v>
      </c>
      <c r="M41" s="1" t="s">
        <v>845</v>
      </c>
      <c r="N41" s="1" t="s">
        <v>646</v>
      </c>
      <c r="O41" s="1">
        <v>433.62</v>
      </c>
      <c r="P41" s="1">
        <v>4</v>
      </c>
      <c r="Q41" s="1">
        <f t="shared" si="2"/>
        <v>1734.48</v>
      </c>
      <c r="R41" s="1" t="s">
        <v>78</v>
      </c>
      <c r="S41" s="1">
        <f t="shared" si="9"/>
        <v>346.89600000000002</v>
      </c>
      <c r="T41" s="1">
        <f t="shared" si="10"/>
        <v>1387.5840000000001</v>
      </c>
      <c r="U41" s="1">
        <v>3</v>
      </c>
      <c r="V41" s="1">
        <f t="shared" si="11"/>
        <v>1423.5840000000001</v>
      </c>
      <c r="W41" s="1">
        <v>36</v>
      </c>
      <c r="X41" s="2">
        <v>45252</v>
      </c>
      <c r="Y41" s="1" t="s">
        <v>846</v>
      </c>
      <c r="Z41" s="1">
        <f t="shared" si="12"/>
        <v>1770.48</v>
      </c>
      <c r="AA41" s="1">
        <f t="shared" si="3"/>
        <v>3</v>
      </c>
      <c r="AB41" s="1" t="str">
        <f t="shared" si="4"/>
        <v>Intime</v>
      </c>
      <c r="AC41" s="1">
        <f t="shared" si="5"/>
        <v>1734.48</v>
      </c>
      <c r="AD41" s="7">
        <f t="shared" si="13"/>
        <v>0.2</v>
      </c>
      <c r="AE41" s="1">
        <f t="shared" si="14"/>
        <v>346.89600000000002</v>
      </c>
      <c r="AF41" s="1">
        <f t="shared" si="8"/>
        <v>382.89600000000002</v>
      </c>
    </row>
    <row r="42" spans="1:32" ht="14.25" customHeight="1" x14ac:dyDescent="0.3">
      <c r="A42" s="1" t="s">
        <v>1450</v>
      </c>
      <c r="B42" s="1" t="s">
        <v>266</v>
      </c>
      <c r="C42" s="1" t="s">
        <v>1451</v>
      </c>
      <c r="D42" s="1" t="str">
        <f t="shared" si="0"/>
        <v>Lauren Lane</v>
      </c>
      <c r="E42" s="1">
        <v>30</v>
      </c>
      <c r="F42" s="1" t="s">
        <v>22</v>
      </c>
      <c r="G42" s="1" t="s">
        <v>213</v>
      </c>
      <c r="H42" s="1" t="s">
        <v>1452</v>
      </c>
      <c r="I42" s="1" t="s">
        <v>1453</v>
      </c>
      <c r="J42" s="1" t="s">
        <v>1556</v>
      </c>
      <c r="K42" s="2">
        <v>45386</v>
      </c>
      <c r="L42" s="2" t="str">
        <f t="shared" si="1"/>
        <v>April</v>
      </c>
      <c r="M42" s="1" t="s">
        <v>1557</v>
      </c>
      <c r="N42" s="1" t="s">
        <v>646</v>
      </c>
      <c r="O42" s="1">
        <v>433.62</v>
      </c>
      <c r="P42" s="1">
        <v>4</v>
      </c>
      <c r="Q42" s="1">
        <f t="shared" si="2"/>
        <v>1734.48</v>
      </c>
      <c r="R42" s="1" t="s">
        <v>56</v>
      </c>
      <c r="S42" s="1">
        <f t="shared" si="9"/>
        <v>0</v>
      </c>
      <c r="T42" s="1">
        <f t="shared" si="10"/>
        <v>1734.48</v>
      </c>
      <c r="U42" s="1">
        <v>1</v>
      </c>
      <c r="V42" s="1">
        <f t="shared" si="11"/>
        <v>1790.48</v>
      </c>
      <c r="W42" s="1">
        <v>56</v>
      </c>
      <c r="X42" s="2">
        <v>45392</v>
      </c>
      <c r="Y42" s="1" t="s">
        <v>1558</v>
      </c>
      <c r="Z42" s="1">
        <f t="shared" si="12"/>
        <v>1790.48</v>
      </c>
      <c r="AA42" s="1">
        <f t="shared" si="3"/>
        <v>6</v>
      </c>
      <c r="AB42" s="1" t="str">
        <f t="shared" si="4"/>
        <v>Late</v>
      </c>
      <c r="AC42" s="1">
        <f t="shared" si="5"/>
        <v>1734.48</v>
      </c>
      <c r="AD42" s="7">
        <f t="shared" si="13"/>
        <v>0</v>
      </c>
      <c r="AE42" s="1">
        <f t="shared" si="14"/>
        <v>0</v>
      </c>
      <c r="AF42" s="1">
        <f t="shared" si="8"/>
        <v>0</v>
      </c>
    </row>
    <row r="43" spans="1:32" ht="14.25" customHeight="1" x14ac:dyDescent="0.3">
      <c r="A43" s="1" t="s">
        <v>140</v>
      </c>
      <c r="B43" s="1" t="s">
        <v>141</v>
      </c>
      <c r="C43" s="1" t="s">
        <v>142</v>
      </c>
      <c r="D43" s="1" t="str">
        <f t="shared" si="0"/>
        <v>Amy Reid</v>
      </c>
      <c r="E43" s="1">
        <v>44</v>
      </c>
      <c r="F43" s="1" t="s">
        <v>34</v>
      </c>
      <c r="G43" s="1" t="s">
        <v>83</v>
      </c>
      <c r="H43" s="1" t="s">
        <v>143</v>
      </c>
      <c r="I43" s="1" t="s">
        <v>144</v>
      </c>
      <c r="J43" s="1" t="s">
        <v>795</v>
      </c>
      <c r="K43" s="2">
        <v>45636</v>
      </c>
      <c r="L43" s="2" t="str">
        <f t="shared" si="1"/>
        <v>December</v>
      </c>
      <c r="M43" s="1" t="s">
        <v>796</v>
      </c>
      <c r="N43" s="1" t="s">
        <v>376</v>
      </c>
      <c r="O43" s="1">
        <v>431.44</v>
      </c>
      <c r="P43" s="1">
        <v>4</v>
      </c>
      <c r="Q43" s="1">
        <f t="shared" si="2"/>
        <v>1725.76</v>
      </c>
      <c r="R43" s="1" t="s">
        <v>51</v>
      </c>
      <c r="S43" s="1">
        <f t="shared" si="9"/>
        <v>258.86399999999998</v>
      </c>
      <c r="T43" s="1">
        <f t="shared" si="10"/>
        <v>1466.896</v>
      </c>
      <c r="U43" s="1">
        <v>2</v>
      </c>
      <c r="V43" s="1">
        <f t="shared" si="11"/>
        <v>1532.896</v>
      </c>
      <c r="W43" s="1">
        <v>66</v>
      </c>
      <c r="X43" s="2">
        <v>45637</v>
      </c>
      <c r="Y43" s="1" t="s">
        <v>797</v>
      </c>
      <c r="Z43" s="1">
        <f t="shared" si="12"/>
        <v>1791.76</v>
      </c>
      <c r="AA43" s="1">
        <f t="shared" si="3"/>
        <v>1</v>
      </c>
      <c r="AB43" s="1" t="str">
        <f t="shared" si="4"/>
        <v>BeforeTime</v>
      </c>
      <c r="AC43" s="1">
        <f t="shared" si="5"/>
        <v>1725.76</v>
      </c>
      <c r="AD43" s="7">
        <f t="shared" si="13"/>
        <v>0.15</v>
      </c>
      <c r="AE43" s="1">
        <f t="shared" si="14"/>
        <v>258.86399999999998</v>
      </c>
      <c r="AF43" s="1">
        <f t="shared" si="8"/>
        <v>324.86399999999998</v>
      </c>
    </row>
    <row r="44" spans="1:32" ht="14.25" customHeight="1" x14ac:dyDescent="0.3">
      <c r="A44" s="1" t="s">
        <v>513</v>
      </c>
      <c r="B44" s="1" t="s">
        <v>514</v>
      </c>
      <c r="C44" s="1" t="s">
        <v>515</v>
      </c>
      <c r="D44" s="1" t="str">
        <f t="shared" si="0"/>
        <v>Katherine Weber</v>
      </c>
      <c r="E44" s="1">
        <v>42</v>
      </c>
      <c r="F44" s="1" t="s">
        <v>45</v>
      </c>
      <c r="G44" s="1" t="s">
        <v>69</v>
      </c>
      <c r="H44" s="1" t="s">
        <v>516</v>
      </c>
      <c r="I44" s="1" t="s">
        <v>517</v>
      </c>
      <c r="J44" s="1" t="s">
        <v>1393</v>
      </c>
      <c r="K44" s="2">
        <v>45233</v>
      </c>
      <c r="L44" s="2" t="str">
        <f t="shared" si="1"/>
        <v>November</v>
      </c>
      <c r="M44" s="1" t="s">
        <v>1394</v>
      </c>
      <c r="N44" s="1" t="s">
        <v>376</v>
      </c>
      <c r="O44" s="1">
        <v>431.44</v>
      </c>
      <c r="P44" s="1">
        <v>4</v>
      </c>
      <c r="Q44" s="1">
        <f t="shared" si="2"/>
        <v>1725.76</v>
      </c>
      <c r="R44" s="1" t="s">
        <v>56</v>
      </c>
      <c r="S44" s="1">
        <f t="shared" si="9"/>
        <v>0</v>
      </c>
      <c r="T44" s="1">
        <f t="shared" si="10"/>
        <v>1725.76</v>
      </c>
      <c r="U44" s="1">
        <v>3</v>
      </c>
      <c r="V44" s="1">
        <f t="shared" si="11"/>
        <v>1790.76</v>
      </c>
      <c r="W44" s="1">
        <v>65</v>
      </c>
      <c r="X44" s="2">
        <v>45239</v>
      </c>
      <c r="Y44" s="1" t="s">
        <v>1395</v>
      </c>
      <c r="Z44" s="1">
        <f t="shared" si="12"/>
        <v>1790.76</v>
      </c>
      <c r="AA44" s="1">
        <f t="shared" si="3"/>
        <v>6</v>
      </c>
      <c r="AB44" s="1" t="str">
        <f t="shared" si="4"/>
        <v>Late</v>
      </c>
      <c r="AC44" s="1">
        <f t="shared" si="5"/>
        <v>1725.76</v>
      </c>
      <c r="AD44" s="7">
        <f t="shared" si="13"/>
        <v>0</v>
      </c>
      <c r="AE44" s="1">
        <f t="shared" si="14"/>
        <v>0</v>
      </c>
      <c r="AF44" s="1">
        <f t="shared" si="8"/>
        <v>0</v>
      </c>
    </row>
    <row r="45" spans="1:32" ht="14.25" customHeight="1" x14ac:dyDescent="0.3">
      <c r="A45" s="1" t="s">
        <v>539</v>
      </c>
      <c r="B45" s="1" t="s">
        <v>540</v>
      </c>
      <c r="C45" s="1" t="s">
        <v>541</v>
      </c>
      <c r="D45" s="1" t="str">
        <f t="shared" si="0"/>
        <v>Jodi Whitney</v>
      </c>
      <c r="E45" s="1">
        <v>33</v>
      </c>
      <c r="F45" s="1" t="s">
        <v>45</v>
      </c>
      <c r="G45" s="1" t="s">
        <v>161</v>
      </c>
      <c r="H45" s="1" t="s">
        <v>542</v>
      </c>
      <c r="I45" s="1" t="s">
        <v>543</v>
      </c>
      <c r="J45" s="1" t="s">
        <v>544</v>
      </c>
      <c r="K45" s="2">
        <v>45495</v>
      </c>
      <c r="L45" s="2" t="str">
        <f t="shared" si="1"/>
        <v>July</v>
      </c>
      <c r="M45" s="1" t="s">
        <v>545</v>
      </c>
      <c r="N45" s="1" t="s">
        <v>546</v>
      </c>
      <c r="O45" s="1">
        <v>425.59</v>
      </c>
      <c r="P45" s="1">
        <v>4</v>
      </c>
      <c r="Q45" s="1">
        <f t="shared" si="2"/>
        <v>1702.36</v>
      </c>
      <c r="R45" s="1" t="s">
        <v>56</v>
      </c>
      <c r="S45" s="1">
        <f t="shared" si="9"/>
        <v>0</v>
      </c>
      <c r="T45" s="1">
        <f t="shared" si="10"/>
        <v>1702.36</v>
      </c>
      <c r="U45" s="1">
        <v>6</v>
      </c>
      <c r="V45" s="1">
        <f t="shared" si="11"/>
        <v>1755.36</v>
      </c>
      <c r="W45" s="1">
        <v>53</v>
      </c>
      <c r="X45" s="2">
        <v>45496</v>
      </c>
      <c r="Y45" s="1" t="s">
        <v>547</v>
      </c>
      <c r="Z45" s="1">
        <f t="shared" si="12"/>
        <v>1755.36</v>
      </c>
      <c r="AA45" s="1">
        <f t="shared" si="3"/>
        <v>1</v>
      </c>
      <c r="AB45" s="1" t="str">
        <f t="shared" si="4"/>
        <v>BeforeTime</v>
      </c>
      <c r="AC45" s="1">
        <f t="shared" si="5"/>
        <v>1702.36</v>
      </c>
      <c r="AD45" s="7">
        <f t="shared" si="13"/>
        <v>0</v>
      </c>
      <c r="AE45" s="1">
        <f t="shared" si="14"/>
        <v>0</v>
      </c>
      <c r="AF45" s="1">
        <f t="shared" si="8"/>
        <v>0</v>
      </c>
    </row>
    <row r="46" spans="1:32" ht="14.25" customHeight="1" x14ac:dyDescent="0.3">
      <c r="A46" s="1" t="s">
        <v>168</v>
      </c>
      <c r="B46" s="1" t="s">
        <v>169</v>
      </c>
      <c r="C46" s="1" t="s">
        <v>170</v>
      </c>
      <c r="D46" s="1" t="str">
        <f t="shared" si="0"/>
        <v>Gina Moreno</v>
      </c>
      <c r="E46" s="1">
        <v>36</v>
      </c>
      <c r="F46" s="1" t="s">
        <v>45</v>
      </c>
      <c r="G46" s="1" t="s">
        <v>133</v>
      </c>
      <c r="H46" s="1" t="s">
        <v>171</v>
      </c>
      <c r="I46" s="1" t="s">
        <v>172</v>
      </c>
      <c r="J46" s="1" t="s">
        <v>1693</v>
      </c>
      <c r="K46" s="2">
        <v>45091</v>
      </c>
      <c r="L46" s="2" t="str">
        <f t="shared" si="1"/>
        <v>June</v>
      </c>
      <c r="M46" s="1" t="s">
        <v>1694</v>
      </c>
      <c r="N46" s="1" t="s">
        <v>679</v>
      </c>
      <c r="O46" s="1">
        <v>424.82</v>
      </c>
      <c r="P46" s="1">
        <v>4</v>
      </c>
      <c r="Q46" s="1">
        <f t="shared" si="2"/>
        <v>1699.28</v>
      </c>
      <c r="R46" s="1" t="s">
        <v>89</v>
      </c>
      <c r="S46" s="1">
        <f t="shared" si="9"/>
        <v>169.928</v>
      </c>
      <c r="T46" s="1">
        <f t="shared" si="10"/>
        <v>1529.3519999999999</v>
      </c>
      <c r="U46" s="1">
        <v>5</v>
      </c>
      <c r="V46" s="1">
        <f t="shared" si="11"/>
        <v>1587.3519999999999</v>
      </c>
      <c r="W46" s="1">
        <v>58</v>
      </c>
      <c r="X46" s="2">
        <v>45098</v>
      </c>
      <c r="Y46" s="1" t="s">
        <v>1695</v>
      </c>
      <c r="Z46" s="1">
        <f t="shared" si="12"/>
        <v>1757.28</v>
      </c>
      <c r="AA46" s="1">
        <f t="shared" si="3"/>
        <v>7</v>
      </c>
      <c r="AB46" s="1" t="str">
        <f t="shared" si="4"/>
        <v>Late</v>
      </c>
      <c r="AC46" s="1">
        <f t="shared" si="5"/>
        <v>1699.28</v>
      </c>
      <c r="AD46" s="7">
        <f t="shared" si="13"/>
        <v>0.1</v>
      </c>
      <c r="AE46" s="1">
        <f t="shared" si="14"/>
        <v>169.928</v>
      </c>
      <c r="AF46" s="1">
        <f t="shared" si="8"/>
        <v>227.928</v>
      </c>
    </row>
    <row r="47" spans="1:32" ht="14.25" customHeight="1" x14ac:dyDescent="0.3">
      <c r="A47" s="1" t="s">
        <v>342</v>
      </c>
      <c r="B47" s="1" t="s">
        <v>343</v>
      </c>
      <c r="C47" s="1" t="s">
        <v>344</v>
      </c>
      <c r="D47" s="1" t="str">
        <f t="shared" si="0"/>
        <v>Donna Oneill</v>
      </c>
      <c r="E47" s="1">
        <v>70</v>
      </c>
      <c r="F47" s="1" t="s">
        <v>22</v>
      </c>
      <c r="G47" s="1" t="s">
        <v>161</v>
      </c>
      <c r="H47" s="1" t="s">
        <v>345</v>
      </c>
      <c r="I47" s="1" t="s">
        <v>346</v>
      </c>
      <c r="J47" s="1" t="s">
        <v>1772</v>
      </c>
      <c r="K47" s="2">
        <v>45396</v>
      </c>
      <c r="L47" s="2" t="str">
        <f t="shared" si="1"/>
        <v>April</v>
      </c>
      <c r="M47" s="1" t="s">
        <v>1773</v>
      </c>
      <c r="N47" s="1" t="s">
        <v>679</v>
      </c>
      <c r="O47" s="1">
        <v>424.82</v>
      </c>
      <c r="P47" s="1">
        <v>4</v>
      </c>
      <c r="Q47" s="1">
        <f t="shared" si="2"/>
        <v>1699.28</v>
      </c>
      <c r="R47" s="1" t="s">
        <v>51</v>
      </c>
      <c r="S47" s="1">
        <f t="shared" si="9"/>
        <v>254.892</v>
      </c>
      <c r="T47" s="1">
        <f t="shared" si="10"/>
        <v>1444.3879999999999</v>
      </c>
      <c r="U47" s="1">
        <v>1</v>
      </c>
      <c r="V47" s="1">
        <f t="shared" si="11"/>
        <v>1514.3879999999999</v>
      </c>
      <c r="W47" s="1">
        <v>70</v>
      </c>
      <c r="X47" s="2">
        <v>45402</v>
      </c>
      <c r="Y47" s="1" t="s">
        <v>1774</v>
      </c>
      <c r="Z47" s="1">
        <f t="shared" si="12"/>
        <v>1769.28</v>
      </c>
      <c r="AA47" s="1">
        <f t="shared" si="3"/>
        <v>6</v>
      </c>
      <c r="AB47" s="1" t="str">
        <f t="shared" si="4"/>
        <v>Late</v>
      </c>
      <c r="AC47" s="1">
        <f t="shared" si="5"/>
        <v>1699.28</v>
      </c>
      <c r="AD47" s="7">
        <f t="shared" si="13"/>
        <v>0.15</v>
      </c>
      <c r="AE47" s="1">
        <f t="shared" si="14"/>
        <v>254.892</v>
      </c>
      <c r="AF47" s="1">
        <f t="shared" si="8"/>
        <v>324.892</v>
      </c>
    </row>
    <row r="48" spans="1:32" ht="14.25" customHeight="1" x14ac:dyDescent="0.3">
      <c r="A48" s="1" t="s">
        <v>717</v>
      </c>
      <c r="B48" s="1" t="s">
        <v>718</v>
      </c>
      <c r="C48" s="1" t="s">
        <v>160</v>
      </c>
      <c r="D48" s="1" t="str">
        <f t="shared" si="0"/>
        <v>Lisa Miller</v>
      </c>
      <c r="E48" s="1">
        <v>70</v>
      </c>
      <c r="F48" s="1" t="s">
        <v>34</v>
      </c>
      <c r="G48" s="1" t="s">
        <v>83</v>
      </c>
      <c r="H48" s="1" t="s">
        <v>719</v>
      </c>
      <c r="I48" s="1" t="s">
        <v>720</v>
      </c>
      <c r="J48" s="1" t="s">
        <v>972</v>
      </c>
      <c r="K48" s="2">
        <v>45508</v>
      </c>
      <c r="L48" s="2" t="str">
        <f t="shared" si="1"/>
        <v>August</v>
      </c>
      <c r="M48" s="1" t="s">
        <v>973</v>
      </c>
      <c r="N48" s="1" t="s">
        <v>488</v>
      </c>
      <c r="O48" s="1">
        <v>421.7</v>
      </c>
      <c r="P48" s="1">
        <v>4</v>
      </c>
      <c r="Q48" s="1">
        <f t="shared" si="2"/>
        <v>1686.8</v>
      </c>
      <c r="R48" s="1" t="s">
        <v>29</v>
      </c>
      <c r="S48" s="1">
        <f t="shared" si="9"/>
        <v>134.94399999999999</v>
      </c>
      <c r="T48" s="1">
        <f t="shared" si="10"/>
        <v>1551.856</v>
      </c>
      <c r="U48" s="1">
        <v>7</v>
      </c>
      <c r="V48" s="1">
        <f t="shared" si="11"/>
        <v>1620.856</v>
      </c>
      <c r="W48" s="1">
        <v>69</v>
      </c>
      <c r="X48" s="2">
        <v>45514</v>
      </c>
      <c r="Y48" s="1" t="s">
        <v>974</v>
      </c>
      <c r="Z48" s="1">
        <f t="shared" si="12"/>
        <v>1755.8</v>
      </c>
      <c r="AA48" s="1">
        <f t="shared" si="3"/>
        <v>6</v>
      </c>
      <c r="AB48" s="1" t="str">
        <f t="shared" si="4"/>
        <v>BeforeTime</v>
      </c>
      <c r="AC48" s="1">
        <f t="shared" si="5"/>
        <v>1686.8</v>
      </c>
      <c r="AD48" s="7">
        <f t="shared" si="13"/>
        <v>0.08</v>
      </c>
      <c r="AE48" s="1">
        <f t="shared" si="14"/>
        <v>134.94399999999999</v>
      </c>
      <c r="AF48" s="1">
        <f t="shared" si="8"/>
        <v>203.94399999999999</v>
      </c>
    </row>
    <row r="49" spans="1:32" ht="14.25" customHeight="1" x14ac:dyDescent="0.3">
      <c r="A49" s="1" t="s">
        <v>1231</v>
      </c>
      <c r="B49" s="1" t="s">
        <v>1232</v>
      </c>
      <c r="C49" s="1" t="s">
        <v>1233</v>
      </c>
      <c r="D49" s="1" t="str">
        <f t="shared" si="0"/>
        <v>Hannah Gutierrez</v>
      </c>
      <c r="E49" s="1">
        <v>55</v>
      </c>
      <c r="F49" s="1" t="s">
        <v>34</v>
      </c>
      <c r="G49" s="1" t="s">
        <v>152</v>
      </c>
      <c r="H49" s="1" t="s">
        <v>1234</v>
      </c>
      <c r="I49" s="1" t="s">
        <v>1235</v>
      </c>
      <c r="J49" s="1" t="s">
        <v>1503</v>
      </c>
      <c r="K49" s="2">
        <v>45384</v>
      </c>
      <c r="L49" s="2" t="str">
        <f t="shared" si="1"/>
        <v>April</v>
      </c>
      <c r="M49" s="1" t="s">
        <v>1504</v>
      </c>
      <c r="N49" s="1" t="s">
        <v>488</v>
      </c>
      <c r="O49" s="1">
        <v>421.7</v>
      </c>
      <c r="P49" s="1">
        <v>4</v>
      </c>
      <c r="Q49" s="1">
        <f t="shared" si="2"/>
        <v>1686.8</v>
      </c>
      <c r="R49" s="1" t="s">
        <v>29</v>
      </c>
      <c r="S49" s="1">
        <f t="shared" si="9"/>
        <v>134.94399999999999</v>
      </c>
      <c r="T49" s="1">
        <f t="shared" si="10"/>
        <v>1551.856</v>
      </c>
      <c r="U49" s="1">
        <v>5</v>
      </c>
      <c r="V49" s="1">
        <f t="shared" si="11"/>
        <v>1606.856</v>
      </c>
      <c r="W49" s="1">
        <v>55</v>
      </c>
      <c r="X49" s="2">
        <v>45389</v>
      </c>
      <c r="Y49" s="1" t="s">
        <v>1505</v>
      </c>
      <c r="Z49" s="1">
        <f t="shared" si="12"/>
        <v>1741.8</v>
      </c>
      <c r="AA49" s="1">
        <f t="shared" si="3"/>
        <v>5</v>
      </c>
      <c r="AB49" s="1" t="str">
        <f t="shared" si="4"/>
        <v>Intime</v>
      </c>
      <c r="AC49" s="1">
        <f t="shared" si="5"/>
        <v>1686.8</v>
      </c>
      <c r="AD49" s="7">
        <f t="shared" si="13"/>
        <v>0.08</v>
      </c>
      <c r="AE49" s="1">
        <f t="shared" si="14"/>
        <v>134.94399999999999</v>
      </c>
      <c r="AF49" s="1">
        <f t="shared" si="8"/>
        <v>189.94399999999999</v>
      </c>
    </row>
    <row r="50" spans="1:32" ht="14.25" customHeight="1" x14ac:dyDescent="0.3">
      <c r="A50" s="1" t="s">
        <v>483</v>
      </c>
      <c r="B50" s="1" t="s">
        <v>179</v>
      </c>
      <c r="C50" s="1" t="s">
        <v>320</v>
      </c>
      <c r="D50" s="1" t="str">
        <f t="shared" si="0"/>
        <v>Mitchell Parker</v>
      </c>
      <c r="E50" s="1">
        <v>39</v>
      </c>
      <c r="F50" s="1" t="s">
        <v>45</v>
      </c>
      <c r="G50" s="1" t="s">
        <v>35</v>
      </c>
      <c r="H50" s="1" t="s">
        <v>484</v>
      </c>
      <c r="I50" s="1" t="s">
        <v>485</v>
      </c>
      <c r="J50" s="1" t="s">
        <v>1378</v>
      </c>
      <c r="K50" s="2">
        <v>45024</v>
      </c>
      <c r="L50" s="2" t="str">
        <f t="shared" si="1"/>
        <v>April</v>
      </c>
      <c r="M50" s="1" t="s">
        <v>1379</v>
      </c>
      <c r="N50" s="1" t="s">
        <v>55</v>
      </c>
      <c r="O50" s="1">
        <v>405</v>
      </c>
      <c r="P50" s="1">
        <v>4</v>
      </c>
      <c r="Q50" s="1">
        <f t="shared" si="2"/>
        <v>1620</v>
      </c>
      <c r="R50" s="1" t="s">
        <v>89</v>
      </c>
      <c r="S50" s="1">
        <f t="shared" si="9"/>
        <v>162</v>
      </c>
      <c r="T50" s="1">
        <f t="shared" si="10"/>
        <v>1458</v>
      </c>
      <c r="U50" s="1">
        <v>7</v>
      </c>
      <c r="V50" s="1">
        <f t="shared" si="11"/>
        <v>1528</v>
      </c>
      <c r="W50" s="1">
        <v>70</v>
      </c>
      <c r="X50" s="2">
        <v>45029</v>
      </c>
      <c r="Y50" s="1" t="s">
        <v>1380</v>
      </c>
      <c r="Z50" s="1">
        <f t="shared" si="12"/>
        <v>1690</v>
      </c>
      <c r="AA50" s="1">
        <f t="shared" si="3"/>
        <v>5</v>
      </c>
      <c r="AB50" s="1" t="str">
        <f t="shared" si="4"/>
        <v>BeforeTime</v>
      </c>
      <c r="AC50" s="1">
        <f t="shared" si="5"/>
        <v>1620</v>
      </c>
      <c r="AD50" s="7">
        <f t="shared" si="13"/>
        <v>0.1</v>
      </c>
      <c r="AE50" s="1">
        <f t="shared" si="14"/>
        <v>162</v>
      </c>
      <c r="AF50" s="1">
        <f t="shared" si="8"/>
        <v>232</v>
      </c>
    </row>
    <row r="51" spans="1:32" ht="14.25" customHeight="1" x14ac:dyDescent="0.3">
      <c r="A51" s="1" t="s">
        <v>342</v>
      </c>
      <c r="B51" s="1" t="s">
        <v>343</v>
      </c>
      <c r="C51" s="1" t="s">
        <v>344</v>
      </c>
      <c r="D51" s="1" t="str">
        <f t="shared" si="0"/>
        <v>Donna Oneill</v>
      </c>
      <c r="E51" s="1">
        <v>70</v>
      </c>
      <c r="F51" s="1" t="s">
        <v>22</v>
      </c>
      <c r="G51" s="1" t="s">
        <v>161</v>
      </c>
      <c r="H51" s="1" t="s">
        <v>345</v>
      </c>
      <c r="I51" s="1" t="s">
        <v>346</v>
      </c>
      <c r="J51" s="1" t="s">
        <v>813</v>
      </c>
      <c r="K51" s="2">
        <v>45281</v>
      </c>
      <c r="L51" s="2" t="str">
        <f t="shared" si="1"/>
        <v>December</v>
      </c>
      <c r="M51" s="1" t="s">
        <v>814</v>
      </c>
      <c r="N51" s="1" t="s">
        <v>583</v>
      </c>
      <c r="O51" s="1">
        <v>403.03</v>
      </c>
      <c r="P51" s="1">
        <v>4</v>
      </c>
      <c r="Q51" s="1">
        <f t="shared" si="2"/>
        <v>1612.12</v>
      </c>
      <c r="R51" s="1" t="s">
        <v>89</v>
      </c>
      <c r="S51" s="1">
        <f t="shared" si="9"/>
        <v>161.21199999999999</v>
      </c>
      <c r="T51" s="1">
        <f t="shared" si="10"/>
        <v>1450.9079999999999</v>
      </c>
      <c r="U51" s="1">
        <v>6</v>
      </c>
      <c r="V51" s="1">
        <f t="shared" si="11"/>
        <v>1497.9079999999999</v>
      </c>
      <c r="W51" s="1">
        <v>47</v>
      </c>
      <c r="X51" s="2">
        <v>45283</v>
      </c>
      <c r="Y51" s="1" t="s">
        <v>815</v>
      </c>
      <c r="Z51" s="1">
        <f t="shared" si="12"/>
        <v>1659.12</v>
      </c>
      <c r="AA51" s="1">
        <f t="shared" si="3"/>
        <v>2</v>
      </c>
      <c r="AB51" s="1" t="str">
        <f t="shared" si="4"/>
        <v>BeforeTime</v>
      </c>
      <c r="AC51" s="1">
        <f t="shared" si="5"/>
        <v>1612.12</v>
      </c>
      <c r="AD51" s="7">
        <f t="shared" si="13"/>
        <v>0.1</v>
      </c>
      <c r="AE51" s="1">
        <f t="shared" si="14"/>
        <v>161.21199999999999</v>
      </c>
      <c r="AF51" s="1">
        <f t="shared" si="8"/>
        <v>208.21199999999999</v>
      </c>
    </row>
    <row r="52" spans="1:32" ht="14.25" customHeight="1" x14ac:dyDescent="0.3">
      <c r="A52" s="1" t="s">
        <v>539</v>
      </c>
      <c r="B52" s="1" t="s">
        <v>540</v>
      </c>
      <c r="C52" s="1" t="s">
        <v>541</v>
      </c>
      <c r="D52" s="1" t="str">
        <f t="shared" si="0"/>
        <v>Jodi Whitney</v>
      </c>
      <c r="E52" s="1">
        <v>33</v>
      </c>
      <c r="F52" s="1" t="s">
        <v>45</v>
      </c>
      <c r="G52" s="1" t="s">
        <v>161</v>
      </c>
      <c r="H52" s="1" t="s">
        <v>542</v>
      </c>
      <c r="I52" s="1" t="s">
        <v>543</v>
      </c>
      <c r="J52" s="1" t="s">
        <v>1598</v>
      </c>
      <c r="K52" s="2">
        <v>45553</v>
      </c>
      <c r="L52" s="2" t="str">
        <f t="shared" si="1"/>
        <v>September</v>
      </c>
      <c r="M52" s="1" t="s">
        <v>1599</v>
      </c>
      <c r="N52" s="1" t="s">
        <v>583</v>
      </c>
      <c r="O52" s="1">
        <v>403.03</v>
      </c>
      <c r="P52" s="1">
        <v>4</v>
      </c>
      <c r="Q52" s="1">
        <f t="shared" si="2"/>
        <v>1612.12</v>
      </c>
      <c r="R52" s="1" t="s">
        <v>89</v>
      </c>
      <c r="S52" s="1">
        <f t="shared" si="9"/>
        <v>161.21199999999999</v>
      </c>
      <c r="T52" s="1">
        <f t="shared" si="10"/>
        <v>1450.9079999999999</v>
      </c>
      <c r="U52" s="1">
        <v>7</v>
      </c>
      <c r="V52" s="1">
        <f t="shared" si="11"/>
        <v>1515.9079999999999</v>
      </c>
      <c r="W52" s="1">
        <v>65</v>
      </c>
      <c r="X52" s="2">
        <v>45556</v>
      </c>
      <c r="Y52" s="1" t="s">
        <v>1600</v>
      </c>
      <c r="Z52" s="1">
        <f t="shared" si="12"/>
        <v>1677.12</v>
      </c>
      <c r="AA52" s="1">
        <f t="shared" si="3"/>
        <v>3</v>
      </c>
      <c r="AB52" s="1" t="str">
        <f t="shared" si="4"/>
        <v>BeforeTime</v>
      </c>
      <c r="AC52" s="1">
        <f t="shared" si="5"/>
        <v>1612.12</v>
      </c>
      <c r="AD52" s="7">
        <f t="shared" si="13"/>
        <v>0.1</v>
      </c>
      <c r="AE52" s="1">
        <f t="shared" si="14"/>
        <v>161.21199999999999</v>
      </c>
      <c r="AF52" s="1">
        <f t="shared" si="8"/>
        <v>226.21199999999999</v>
      </c>
    </row>
    <row r="53" spans="1:32" ht="14.25" customHeight="1" x14ac:dyDescent="0.3">
      <c r="A53" s="1" t="s">
        <v>19</v>
      </c>
      <c r="B53" s="1" t="s">
        <v>20</v>
      </c>
      <c r="C53" s="1" t="s">
        <v>21</v>
      </c>
      <c r="D53" s="1" t="str">
        <f t="shared" si="0"/>
        <v>Anne Oconnell</v>
      </c>
      <c r="E53" s="1">
        <v>37</v>
      </c>
      <c r="F53" s="1" t="s">
        <v>22</v>
      </c>
      <c r="G53" s="1" t="s">
        <v>23</v>
      </c>
      <c r="H53" s="1" t="s">
        <v>24</v>
      </c>
      <c r="I53" s="1" t="s">
        <v>25</v>
      </c>
      <c r="J53" s="1" t="s">
        <v>26</v>
      </c>
      <c r="K53" s="2">
        <v>45358</v>
      </c>
      <c r="L53" s="2" t="str">
        <f t="shared" si="1"/>
        <v>March</v>
      </c>
      <c r="M53" s="1" t="s">
        <v>27</v>
      </c>
      <c r="N53" s="1" t="s">
        <v>28</v>
      </c>
      <c r="O53" s="1">
        <v>308.88</v>
      </c>
      <c r="P53" s="1">
        <v>5</v>
      </c>
      <c r="Q53" s="1">
        <f t="shared" si="2"/>
        <v>1544.4</v>
      </c>
      <c r="R53" s="1" t="s">
        <v>29</v>
      </c>
      <c r="S53" s="1">
        <f t="shared" si="9"/>
        <v>123.55200000000001</v>
      </c>
      <c r="T53" s="1">
        <f t="shared" si="10"/>
        <v>1420.8480000000002</v>
      </c>
      <c r="U53" s="1">
        <v>4</v>
      </c>
      <c r="V53" s="1">
        <f t="shared" si="11"/>
        <v>1480.8480000000002</v>
      </c>
      <c r="W53" s="1">
        <v>60</v>
      </c>
      <c r="X53" s="2">
        <v>45361</v>
      </c>
      <c r="Y53" s="1" t="s">
        <v>30</v>
      </c>
      <c r="Z53" s="1">
        <f t="shared" si="12"/>
        <v>1604.4</v>
      </c>
      <c r="AA53" s="1">
        <f t="shared" si="3"/>
        <v>3</v>
      </c>
      <c r="AB53" s="1" t="str">
        <f t="shared" si="4"/>
        <v>BeforeTime</v>
      </c>
      <c r="AC53" s="1">
        <f t="shared" si="5"/>
        <v>1544.4</v>
      </c>
      <c r="AD53" s="7">
        <f t="shared" si="13"/>
        <v>0.08</v>
      </c>
      <c r="AE53" s="1">
        <f t="shared" si="14"/>
        <v>123.55200000000001</v>
      </c>
      <c r="AF53" s="1">
        <f t="shared" si="8"/>
        <v>183.55200000000002</v>
      </c>
    </row>
    <row r="54" spans="1:32" ht="14.25" customHeight="1" x14ac:dyDescent="0.3">
      <c r="A54" s="1" t="s">
        <v>42</v>
      </c>
      <c r="B54" s="1" t="s">
        <v>43</v>
      </c>
      <c r="C54" s="1" t="s">
        <v>44</v>
      </c>
      <c r="D54" s="1" t="str">
        <f t="shared" si="0"/>
        <v>Karl Gallagher</v>
      </c>
      <c r="E54" s="1">
        <v>60</v>
      </c>
      <c r="F54" s="1" t="s">
        <v>45</v>
      </c>
      <c r="G54" s="1" t="s">
        <v>23</v>
      </c>
      <c r="H54" s="1" t="s">
        <v>46</v>
      </c>
      <c r="I54" s="1" t="s">
        <v>47</v>
      </c>
      <c r="J54" s="1" t="s">
        <v>76</v>
      </c>
      <c r="K54" s="2">
        <v>45662</v>
      </c>
      <c r="L54" s="2" t="str">
        <f t="shared" si="1"/>
        <v>January</v>
      </c>
      <c r="M54" s="1" t="s">
        <v>77</v>
      </c>
      <c r="N54" s="1" t="s">
        <v>28</v>
      </c>
      <c r="O54" s="1">
        <v>308.88</v>
      </c>
      <c r="P54" s="1">
        <v>5</v>
      </c>
      <c r="Q54" s="1">
        <f t="shared" si="2"/>
        <v>1544.4</v>
      </c>
      <c r="R54" s="1" t="s">
        <v>78</v>
      </c>
      <c r="S54" s="1">
        <f t="shared" si="9"/>
        <v>308.88000000000005</v>
      </c>
      <c r="T54" s="1">
        <f t="shared" si="10"/>
        <v>1235.52</v>
      </c>
      <c r="U54" s="1">
        <v>5</v>
      </c>
      <c r="V54" s="1">
        <f t="shared" si="11"/>
        <v>1282.52</v>
      </c>
      <c r="W54" s="1">
        <v>47</v>
      </c>
      <c r="X54" s="2">
        <v>45665</v>
      </c>
      <c r="Y54" s="1" t="s">
        <v>79</v>
      </c>
      <c r="Z54" s="1">
        <f t="shared" si="12"/>
        <v>1591.4</v>
      </c>
      <c r="AA54" s="1">
        <f t="shared" si="3"/>
        <v>3</v>
      </c>
      <c r="AB54" s="1" t="str">
        <f t="shared" si="4"/>
        <v>BeforeTime</v>
      </c>
      <c r="AC54" s="1">
        <f t="shared" si="5"/>
        <v>1544.4</v>
      </c>
      <c r="AD54" s="7">
        <f t="shared" si="13"/>
        <v>0.2</v>
      </c>
      <c r="AE54" s="1">
        <f t="shared" si="14"/>
        <v>308.88000000000005</v>
      </c>
      <c r="AF54" s="1">
        <f t="shared" si="8"/>
        <v>355.88000000000005</v>
      </c>
    </row>
    <row r="55" spans="1:32" ht="14.25" customHeight="1" x14ac:dyDescent="0.3">
      <c r="A55" s="1" t="s">
        <v>615</v>
      </c>
      <c r="B55" s="1" t="s">
        <v>122</v>
      </c>
      <c r="C55" s="1" t="s">
        <v>616</v>
      </c>
      <c r="D55" s="1" t="str">
        <f t="shared" si="0"/>
        <v>Joseph Gaines</v>
      </c>
      <c r="E55" s="1">
        <v>47</v>
      </c>
      <c r="F55" s="1" t="s">
        <v>45</v>
      </c>
      <c r="G55" s="1" t="s">
        <v>69</v>
      </c>
      <c r="H55" s="1" t="s">
        <v>617</v>
      </c>
      <c r="I55" s="1" t="s">
        <v>618</v>
      </c>
      <c r="J55" s="1" t="s">
        <v>739</v>
      </c>
      <c r="K55" s="2">
        <v>45397</v>
      </c>
      <c r="L55" s="2" t="str">
        <f t="shared" si="1"/>
        <v>April</v>
      </c>
      <c r="M55" s="1" t="s">
        <v>740</v>
      </c>
      <c r="N55" s="1" t="s">
        <v>741</v>
      </c>
      <c r="O55" s="1">
        <v>381.73</v>
      </c>
      <c r="P55" s="1">
        <v>4</v>
      </c>
      <c r="Q55" s="1">
        <f t="shared" si="2"/>
        <v>1526.92</v>
      </c>
      <c r="R55" s="1" t="s">
        <v>89</v>
      </c>
      <c r="S55" s="1">
        <f t="shared" si="9"/>
        <v>152.69200000000001</v>
      </c>
      <c r="T55" s="1">
        <f t="shared" si="10"/>
        <v>1374.2280000000001</v>
      </c>
      <c r="U55" s="1">
        <v>1</v>
      </c>
      <c r="V55" s="1">
        <f t="shared" si="11"/>
        <v>1440.2280000000001</v>
      </c>
      <c r="W55" s="1">
        <v>66</v>
      </c>
      <c r="X55" s="2">
        <v>45400</v>
      </c>
      <c r="Y55" s="1" t="s">
        <v>742</v>
      </c>
      <c r="Z55" s="1">
        <f t="shared" si="12"/>
        <v>1592.92</v>
      </c>
      <c r="AA55" s="1">
        <f t="shared" si="3"/>
        <v>3</v>
      </c>
      <c r="AB55" s="1" t="str">
        <f t="shared" si="4"/>
        <v>Late</v>
      </c>
      <c r="AC55" s="1">
        <f t="shared" si="5"/>
        <v>1526.92</v>
      </c>
      <c r="AD55" s="7">
        <f t="shared" si="13"/>
        <v>0.1</v>
      </c>
      <c r="AE55" s="1">
        <f t="shared" si="14"/>
        <v>152.69200000000001</v>
      </c>
      <c r="AF55" s="1">
        <f t="shared" si="8"/>
        <v>218.69200000000001</v>
      </c>
    </row>
    <row r="56" spans="1:32" ht="14.25" customHeight="1" x14ac:dyDescent="0.3">
      <c r="A56" s="1" t="s">
        <v>1072</v>
      </c>
      <c r="B56" s="1" t="s">
        <v>211</v>
      </c>
      <c r="C56" s="1" t="s">
        <v>1073</v>
      </c>
      <c r="D56" s="1" t="str">
        <f t="shared" si="0"/>
        <v>Mark Summers</v>
      </c>
      <c r="E56" s="1">
        <v>55</v>
      </c>
      <c r="F56" s="1" t="s">
        <v>34</v>
      </c>
      <c r="G56" s="1" t="s">
        <v>152</v>
      </c>
      <c r="H56" s="1" t="s">
        <v>1074</v>
      </c>
      <c r="I56" s="1" t="s">
        <v>1075</v>
      </c>
      <c r="J56" s="1" t="s">
        <v>1222</v>
      </c>
      <c r="K56" s="2">
        <v>45608</v>
      </c>
      <c r="L56" s="2" t="str">
        <f t="shared" si="1"/>
        <v>November</v>
      </c>
      <c r="M56" s="1" t="s">
        <v>1223</v>
      </c>
      <c r="N56" s="1" t="s">
        <v>741</v>
      </c>
      <c r="O56" s="1">
        <v>381.73</v>
      </c>
      <c r="P56" s="1">
        <v>4</v>
      </c>
      <c r="Q56" s="1">
        <f t="shared" si="2"/>
        <v>1526.92</v>
      </c>
      <c r="R56" s="1" t="s">
        <v>29</v>
      </c>
      <c r="S56" s="1">
        <f t="shared" si="9"/>
        <v>122.15360000000001</v>
      </c>
      <c r="T56" s="1">
        <f t="shared" si="10"/>
        <v>1404.7664</v>
      </c>
      <c r="U56" s="1">
        <v>2</v>
      </c>
      <c r="V56" s="1">
        <f t="shared" si="11"/>
        <v>1462.7664</v>
      </c>
      <c r="W56" s="1">
        <v>58</v>
      </c>
      <c r="X56" s="2">
        <v>45613</v>
      </c>
      <c r="Y56" s="1" t="s">
        <v>1224</v>
      </c>
      <c r="Z56" s="1">
        <f t="shared" si="12"/>
        <v>1584.92</v>
      </c>
      <c r="AA56" s="1">
        <f t="shared" si="3"/>
        <v>5</v>
      </c>
      <c r="AB56" s="1" t="str">
        <f t="shared" si="4"/>
        <v>Late</v>
      </c>
      <c r="AC56" s="1">
        <f t="shared" si="5"/>
        <v>1526.92</v>
      </c>
      <c r="AD56" s="7">
        <f t="shared" si="13"/>
        <v>0.08</v>
      </c>
      <c r="AE56" s="1">
        <f t="shared" si="14"/>
        <v>122.15360000000001</v>
      </c>
      <c r="AF56" s="1">
        <f t="shared" si="8"/>
        <v>180.15360000000001</v>
      </c>
    </row>
    <row r="57" spans="1:32" ht="14.25" customHeight="1" x14ac:dyDescent="0.3">
      <c r="A57" s="1" t="s">
        <v>220</v>
      </c>
      <c r="B57" s="1" t="s">
        <v>221</v>
      </c>
      <c r="C57" s="1" t="s">
        <v>222</v>
      </c>
      <c r="D57" s="1" t="str">
        <f t="shared" si="0"/>
        <v>John Herrera</v>
      </c>
      <c r="E57" s="1">
        <v>64</v>
      </c>
      <c r="F57" s="1" t="s">
        <v>34</v>
      </c>
      <c r="G57" s="1" t="s">
        <v>35</v>
      </c>
      <c r="H57" s="1" t="s">
        <v>223</v>
      </c>
      <c r="I57" s="1" t="s">
        <v>224</v>
      </c>
      <c r="J57" s="1" t="s">
        <v>1149</v>
      </c>
      <c r="K57" s="2">
        <v>45488</v>
      </c>
      <c r="L57" s="2" t="str">
        <f t="shared" si="1"/>
        <v>July</v>
      </c>
      <c r="M57" s="1" t="s">
        <v>1150</v>
      </c>
      <c r="N57" s="1" t="s">
        <v>337</v>
      </c>
      <c r="O57" s="1">
        <v>372.62</v>
      </c>
      <c r="P57" s="1">
        <v>4</v>
      </c>
      <c r="Q57" s="1">
        <f t="shared" si="2"/>
        <v>1490.48</v>
      </c>
      <c r="R57" s="1" t="s">
        <v>29</v>
      </c>
      <c r="S57" s="1">
        <f t="shared" si="9"/>
        <v>119.2384</v>
      </c>
      <c r="T57" s="1">
        <f t="shared" si="10"/>
        <v>1371.2416000000001</v>
      </c>
      <c r="U57" s="1">
        <v>1</v>
      </c>
      <c r="V57" s="1">
        <f t="shared" si="11"/>
        <v>1416.2416000000001</v>
      </c>
      <c r="W57" s="1">
        <v>45</v>
      </c>
      <c r="X57" s="2">
        <v>45492</v>
      </c>
      <c r="Y57" s="1" t="s">
        <v>1151</v>
      </c>
      <c r="Z57" s="1">
        <f t="shared" si="12"/>
        <v>1535.48</v>
      </c>
      <c r="AA57" s="1">
        <f t="shared" si="3"/>
        <v>4</v>
      </c>
      <c r="AB57" s="1" t="str">
        <f t="shared" si="4"/>
        <v>Late</v>
      </c>
      <c r="AC57" s="1">
        <f t="shared" si="5"/>
        <v>1490.48</v>
      </c>
      <c r="AD57" s="7">
        <f t="shared" si="13"/>
        <v>0.08</v>
      </c>
      <c r="AE57" s="1">
        <f t="shared" si="14"/>
        <v>119.2384</v>
      </c>
      <c r="AF57" s="1">
        <f t="shared" si="8"/>
        <v>164.23840000000001</v>
      </c>
    </row>
    <row r="58" spans="1:32" ht="14.25" customHeight="1" x14ac:dyDescent="0.3">
      <c r="A58" s="1" t="s">
        <v>248</v>
      </c>
      <c r="B58" s="1" t="s">
        <v>249</v>
      </c>
      <c r="C58" s="1" t="s">
        <v>250</v>
      </c>
      <c r="D58" s="1" t="str">
        <f t="shared" si="0"/>
        <v>Ashley Rose</v>
      </c>
      <c r="E58" s="1">
        <v>60</v>
      </c>
      <c r="F58" s="1" t="s">
        <v>45</v>
      </c>
      <c r="G58" s="1" t="s">
        <v>23</v>
      </c>
      <c r="H58" s="1" t="s">
        <v>251</v>
      </c>
      <c r="I58" s="1" t="s">
        <v>252</v>
      </c>
      <c r="J58" s="1" t="s">
        <v>1282</v>
      </c>
      <c r="K58" s="2">
        <v>44996</v>
      </c>
      <c r="L58" s="2" t="str">
        <f t="shared" si="1"/>
        <v>March</v>
      </c>
      <c r="M58" s="1" t="s">
        <v>1283</v>
      </c>
      <c r="N58" s="1" t="s">
        <v>337</v>
      </c>
      <c r="O58" s="1">
        <v>372.62</v>
      </c>
      <c r="P58" s="1">
        <v>4</v>
      </c>
      <c r="Q58" s="1">
        <f t="shared" si="2"/>
        <v>1490.48</v>
      </c>
      <c r="R58" s="1" t="s">
        <v>51</v>
      </c>
      <c r="S58" s="1">
        <f t="shared" si="9"/>
        <v>223.572</v>
      </c>
      <c r="T58" s="1">
        <f t="shared" si="10"/>
        <v>1266.9079999999999</v>
      </c>
      <c r="U58" s="1">
        <v>2</v>
      </c>
      <c r="V58" s="1">
        <f t="shared" si="11"/>
        <v>1308.9079999999999</v>
      </c>
      <c r="W58" s="1">
        <v>42</v>
      </c>
      <c r="X58" s="2">
        <v>45001</v>
      </c>
      <c r="Y58" s="1" t="s">
        <v>1284</v>
      </c>
      <c r="Z58" s="1">
        <f t="shared" si="12"/>
        <v>1532.48</v>
      </c>
      <c r="AA58" s="1">
        <f t="shared" si="3"/>
        <v>5</v>
      </c>
      <c r="AB58" s="1" t="str">
        <f t="shared" si="4"/>
        <v>Late</v>
      </c>
      <c r="AC58" s="1">
        <f t="shared" si="5"/>
        <v>1490.48</v>
      </c>
      <c r="AD58" s="7">
        <f t="shared" si="13"/>
        <v>0.15</v>
      </c>
      <c r="AE58" s="1">
        <f t="shared" si="14"/>
        <v>223.572</v>
      </c>
      <c r="AF58" s="1">
        <f t="shared" si="8"/>
        <v>265.572</v>
      </c>
    </row>
    <row r="59" spans="1:32" ht="14.25" customHeight="1" x14ac:dyDescent="0.3">
      <c r="A59" s="1" t="s">
        <v>158</v>
      </c>
      <c r="B59" s="1" t="s">
        <v>159</v>
      </c>
      <c r="C59" s="1" t="s">
        <v>160</v>
      </c>
      <c r="D59" s="1" t="str">
        <f t="shared" si="0"/>
        <v>Erin Miller</v>
      </c>
      <c r="E59" s="1">
        <v>46</v>
      </c>
      <c r="F59" s="1" t="s">
        <v>22</v>
      </c>
      <c r="G59" s="1" t="s">
        <v>161</v>
      </c>
      <c r="H59" s="1" t="s">
        <v>162</v>
      </c>
      <c r="I59" s="1" t="s">
        <v>163</v>
      </c>
      <c r="J59" s="1" t="s">
        <v>1942</v>
      </c>
      <c r="K59" s="2">
        <v>45525</v>
      </c>
      <c r="L59" s="2" t="str">
        <f t="shared" si="1"/>
        <v>August</v>
      </c>
      <c r="M59" s="1" t="s">
        <v>1943</v>
      </c>
      <c r="N59" s="1" t="s">
        <v>337</v>
      </c>
      <c r="O59" s="1">
        <v>372.62</v>
      </c>
      <c r="P59" s="1">
        <v>4</v>
      </c>
      <c r="Q59" s="1">
        <f t="shared" si="2"/>
        <v>1490.48</v>
      </c>
      <c r="R59" s="1" t="s">
        <v>29</v>
      </c>
      <c r="S59" s="1">
        <f t="shared" si="9"/>
        <v>119.2384</v>
      </c>
      <c r="T59" s="1">
        <f t="shared" si="10"/>
        <v>1371.2416000000001</v>
      </c>
      <c r="U59" s="1">
        <v>3</v>
      </c>
      <c r="V59" s="1">
        <f t="shared" si="11"/>
        <v>1419.2416000000001</v>
      </c>
      <c r="W59" s="1">
        <v>48</v>
      </c>
      <c r="X59" s="2">
        <v>45530</v>
      </c>
      <c r="Y59" s="1" t="s">
        <v>1944</v>
      </c>
      <c r="Z59" s="1">
        <f t="shared" si="12"/>
        <v>1538.48</v>
      </c>
      <c r="AA59" s="1">
        <f t="shared" si="3"/>
        <v>5</v>
      </c>
      <c r="AB59" s="1" t="str">
        <f t="shared" si="4"/>
        <v>Late</v>
      </c>
      <c r="AC59" s="1">
        <f t="shared" si="5"/>
        <v>1490.48</v>
      </c>
      <c r="AD59" s="7">
        <f t="shared" si="13"/>
        <v>0.08</v>
      </c>
      <c r="AE59" s="1">
        <f t="shared" si="14"/>
        <v>119.2384</v>
      </c>
      <c r="AF59" s="1">
        <f t="shared" si="8"/>
        <v>167.23840000000001</v>
      </c>
    </row>
    <row r="60" spans="1:32" ht="14.25" customHeight="1" x14ac:dyDescent="0.3">
      <c r="A60" s="1" t="s">
        <v>342</v>
      </c>
      <c r="B60" s="1" t="s">
        <v>343</v>
      </c>
      <c r="C60" s="1" t="s">
        <v>344</v>
      </c>
      <c r="D60" s="1" t="str">
        <f t="shared" si="0"/>
        <v>Donna Oneill</v>
      </c>
      <c r="E60" s="1">
        <v>70</v>
      </c>
      <c r="F60" s="1" t="s">
        <v>22</v>
      </c>
      <c r="G60" s="1" t="s">
        <v>161</v>
      </c>
      <c r="H60" s="1" t="s">
        <v>345</v>
      </c>
      <c r="I60" s="1" t="s">
        <v>346</v>
      </c>
      <c r="J60" s="1" t="s">
        <v>347</v>
      </c>
      <c r="K60" s="2">
        <v>45151</v>
      </c>
      <c r="L60" s="2" t="str">
        <f t="shared" si="1"/>
        <v>August</v>
      </c>
      <c r="M60" s="1" t="s">
        <v>348</v>
      </c>
      <c r="N60" s="1" t="s">
        <v>349</v>
      </c>
      <c r="O60" s="1">
        <v>496.59</v>
      </c>
      <c r="P60" s="1">
        <v>3</v>
      </c>
      <c r="Q60" s="1">
        <f t="shared" si="2"/>
        <v>1489.77</v>
      </c>
      <c r="R60" s="1" t="s">
        <v>51</v>
      </c>
      <c r="S60" s="1">
        <f t="shared" si="9"/>
        <v>223.46549999999999</v>
      </c>
      <c r="T60" s="1">
        <f t="shared" si="10"/>
        <v>1266.3045</v>
      </c>
      <c r="U60" s="1">
        <v>4</v>
      </c>
      <c r="V60" s="1">
        <f t="shared" si="11"/>
        <v>1315.3045</v>
      </c>
      <c r="W60" s="1">
        <v>49</v>
      </c>
      <c r="X60" s="2">
        <v>45152</v>
      </c>
      <c r="Y60" s="1" t="s">
        <v>350</v>
      </c>
      <c r="Z60" s="1">
        <f t="shared" si="12"/>
        <v>1538.77</v>
      </c>
      <c r="AA60" s="1">
        <f t="shared" si="3"/>
        <v>1</v>
      </c>
      <c r="AB60" s="1" t="str">
        <f t="shared" si="4"/>
        <v>BeforeTime</v>
      </c>
      <c r="AC60" s="1">
        <f t="shared" si="5"/>
        <v>1489.77</v>
      </c>
      <c r="AD60" s="7">
        <f t="shared" si="13"/>
        <v>0.15</v>
      </c>
      <c r="AE60" s="1">
        <f t="shared" si="14"/>
        <v>223.46549999999999</v>
      </c>
      <c r="AF60" s="1">
        <f t="shared" si="8"/>
        <v>272.46550000000002</v>
      </c>
    </row>
    <row r="61" spans="1:32" ht="14.25" customHeight="1" x14ac:dyDescent="0.3">
      <c r="A61" s="1" t="s">
        <v>286</v>
      </c>
      <c r="B61" s="1" t="s">
        <v>287</v>
      </c>
      <c r="C61" s="1" t="s">
        <v>288</v>
      </c>
      <c r="D61" s="1" t="str">
        <f t="shared" si="0"/>
        <v>Heather Schneider</v>
      </c>
      <c r="E61" s="1">
        <v>48</v>
      </c>
      <c r="F61" s="1" t="s">
        <v>34</v>
      </c>
      <c r="G61" s="1" t="s">
        <v>83</v>
      </c>
      <c r="H61" s="1" t="s">
        <v>289</v>
      </c>
      <c r="I61" s="1" t="s">
        <v>290</v>
      </c>
      <c r="J61" s="1" t="s">
        <v>1769</v>
      </c>
      <c r="K61" s="2">
        <v>45399</v>
      </c>
      <c r="L61" s="2" t="str">
        <f t="shared" si="1"/>
        <v>April</v>
      </c>
      <c r="M61" s="1" t="s">
        <v>1770</v>
      </c>
      <c r="N61" s="1" t="s">
        <v>349</v>
      </c>
      <c r="O61" s="1">
        <v>496.59</v>
      </c>
      <c r="P61" s="1">
        <v>3</v>
      </c>
      <c r="Q61" s="1">
        <f t="shared" si="2"/>
        <v>1489.77</v>
      </c>
      <c r="R61" s="1" t="s">
        <v>56</v>
      </c>
      <c r="S61" s="1">
        <f t="shared" si="9"/>
        <v>0</v>
      </c>
      <c r="T61" s="1">
        <f t="shared" si="10"/>
        <v>1489.77</v>
      </c>
      <c r="U61" s="1">
        <v>3</v>
      </c>
      <c r="V61" s="1">
        <f t="shared" si="11"/>
        <v>1538.77</v>
      </c>
      <c r="W61" s="1">
        <v>49</v>
      </c>
      <c r="X61" s="2">
        <v>45406</v>
      </c>
      <c r="Y61" s="1" t="s">
        <v>1771</v>
      </c>
      <c r="Z61" s="1">
        <f t="shared" si="12"/>
        <v>1538.77</v>
      </c>
      <c r="AA61" s="1">
        <f t="shared" si="3"/>
        <v>7</v>
      </c>
      <c r="AB61" s="1" t="str">
        <f t="shared" si="4"/>
        <v>Late</v>
      </c>
      <c r="AC61" s="1">
        <f t="shared" si="5"/>
        <v>1489.77</v>
      </c>
      <c r="AD61" s="7">
        <f t="shared" si="13"/>
        <v>0</v>
      </c>
      <c r="AE61" s="1">
        <f t="shared" si="14"/>
        <v>0</v>
      </c>
      <c r="AF61" s="1">
        <f t="shared" si="8"/>
        <v>0</v>
      </c>
    </row>
    <row r="62" spans="1:32" ht="14.25" customHeight="1" x14ac:dyDescent="0.3">
      <c r="A62" s="1" t="s">
        <v>513</v>
      </c>
      <c r="B62" s="1" t="s">
        <v>514</v>
      </c>
      <c r="C62" s="1" t="s">
        <v>515</v>
      </c>
      <c r="D62" s="1" t="str">
        <f t="shared" si="0"/>
        <v>Katherine Weber</v>
      </c>
      <c r="E62" s="1">
        <v>42</v>
      </c>
      <c r="F62" s="1" t="s">
        <v>45</v>
      </c>
      <c r="G62" s="1" t="s">
        <v>69</v>
      </c>
      <c r="H62" s="1" t="s">
        <v>516</v>
      </c>
      <c r="I62" s="1" t="s">
        <v>517</v>
      </c>
      <c r="J62" s="1" t="s">
        <v>518</v>
      </c>
      <c r="K62" s="2">
        <v>45322</v>
      </c>
      <c r="L62" s="2" t="str">
        <f t="shared" si="1"/>
        <v>January</v>
      </c>
      <c r="M62" s="1" t="s">
        <v>519</v>
      </c>
      <c r="N62" s="1" t="s">
        <v>423</v>
      </c>
      <c r="O62" s="1">
        <v>369.03</v>
      </c>
      <c r="P62" s="1">
        <v>4</v>
      </c>
      <c r="Q62" s="1">
        <f t="shared" si="2"/>
        <v>1476.12</v>
      </c>
      <c r="R62" s="1" t="s">
        <v>78</v>
      </c>
      <c r="S62" s="1">
        <f t="shared" si="9"/>
        <v>295.22399999999999</v>
      </c>
      <c r="T62" s="1">
        <f t="shared" si="10"/>
        <v>1180.896</v>
      </c>
      <c r="U62" s="1">
        <v>7</v>
      </c>
      <c r="V62" s="1">
        <f t="shared" si="11"/>
        <v>1232.896</v>
      </c>
      <c r="W62" s="1">
        <v>52</v>
      </c>
      <c r="X62" s="2">
        <v>45327</v>
      </c>
      <c r="Y62" s="1" t="s">
        <v>520</v>
      </c>
      <c r="Z62" s="1">
        <f t="shared" si="12"/>
        <v>1528.12</v>
      </c>
      <c r="AA62" s="1">
        <f t="shared" si="3"/>
        <v>5</v>
      </c>
      <c r="AB62" s="1" t="str">
        <f t="shared" si="4"/>
        <v>BeforeTime</v>
      </c>
      <c r="AC62" s="1">
        <f t="shared" si="5"/>
        <v>1476.12</v>
      </c>
      <c r="AD62" s="7">
        <f t="shared" si="13"/>
        <v>0.2</v>
      </c>
      <c r="AE62" s="1">
        <f t="shared" si="14"/>
        <v>295.22399999999999</v>
      </c>
      <c r="AF62" s="1">
        <f t="shared" si="8"/>
        <v>347.22399999999999</v>
      </c>
    </row>
    <row r="63" spans="1:32" ht="14.25" customHeight="1" x14ac:dyDescent="0.3">
      <c r="A63" s="1" t="s">
        <v>632</v>
      </c>
      <c r="B63" s="1" t="s">
        <v>141</v>
      </c>
      <c r="C63" s="1" t="s">
        <v>633</v>
      </c>
      <c r="D63" s="1" t="str">
        <f t="shared" si="0"/>
        <v>Amy Ellis</v>
      </c>
      <c r="E63" s="1">
        <v>44</v>
      </c>
      <c r="F63" s="1" t="s">
        <v>45</v>
      </c>
      <c r="G63" s="1" t="s">
        <v>83</v>
      </c>
      <c r="H63" s="1" t="s">
        <v>634</v>
      </c>
      <c r="I63" s="1" t="s">
        <v>635</v>
      </c>
      <c r="J63" s="1" t="s">
        <v>636</v>
      </c>
      <c r="K63" s="2">
        <v>45625</v>
      </c>
      <c r="L63" s="2" t="str">
        <f t="shared" si="1"/>
        <v>November</v>
      </c>
      <c r="M63" s="1" t="s">
        <v>637</v>
      </c>
      <c r="N63" s="1" t="s">
        <v>423</v>
      </c>
      <c r="O63" s="1">
        <v>369.03</v>
      </c>
      <c r="P63" s="1">
        <v>4</v>
      </c>
      <c r="Q63" s="1">
        <f t="shared" si="2"/>
        <v>1476.12</v>
      </c>
      <c r="R63" s="1" t="s">
        <v>78</v>
      </c>
      <c r="S63" s="1">
        <f t="shared" si="9"/>
        <v>295.22399999999999</v>
      </c>
      <c r="T63" s="1">
        <f t="shared" si="10"/>
        <v>1180.896</v>
      </c>
      <c r="U63" s="1">
        <v>4</v>
      </c>
      <c r="V63" s="1">
        <f t="shared" si="11"/>
        <v>1236.896</v>
      </c>
      <c r="W63" s="1">
        <v>56</v>
      </c>
      <c r="X63" s="2">
        <v>45630</v>
      </c>
      <c r="Y63" s="1" t="s">
        <v>638</v>
      </c>
      <c r="Z63" s="1">
        <f t="shared" si="12"/>
        <v>1532.12</v>
      </c>
      <c r="AA63" s="1">
        <f t="shared" si="3"/>
        <v>5</v>
      </c>
      <c r="AB63" s="1" t="str">
        <f t="shared" si="4"/>
        <v>Late</v>
      </c>
      <c r="AC63" s="1">
        <f t="shared" si="5"/>
        <v>1476.12</v>
      </c>
      <c r="AD63" s="7">
        <f t="shared" si="13"/>
        <v>0.2</v>
      </c>
      <c r="AE63" s="1">
        <f t="shared" si="14"/>
        <v>295.22399999999999</v>
      </c>
      <c r="AF63" s="1">
        <f t="shared" si="8"/>
        <v>351.22399999999999</v>
      </c>
    </row>
    <row r="64" spans="1:32" ht="14.25" customHeight="1" x14ac:dyDescent="0.3">
      <c r="A64" s="1" t="s">
        <v>681</v>
      </c>
      <c r="B64" s="1" t="s">
        <v>682</v>
      </c>
      <c r="C64" s="1" t="s">
        <v>683</v>
      </c>
      <c r="D64" s="1" t="str">
        <f t="shared" si="0"/>
        <v>Kim Blevins</v>
      </c>
      <c r="E64" s="1">
        <v>65</v>
      </c>
      <c r="F64" s="1" t="s">
        <v>34</v>
      </c>
      <c r="G64" s="1" t="s">
        <v>83</v>
      </c>
      <c r="H64" s="1" t="s">
        <v>684</v>
      </c>
      <c r="I64" s="1" t="s">
        <v>685</v>
      </c>
      <c r="J64" s="1" t="s">
        <v>686</v>
      </c>
      <c r="K64" s="2">
        <v>45165</v>
      </c>
      <c r="L64" s="2" t="str">
        <f t="shared" si="1"/>
        <v>August</v>
      </c>
      <c r="M64" s="1" t="s">
        <v>687</v>
      </c>
      <c r="N64" s="1" t="s">
        <v>423</v>
      </c>
      <c r="O64" s="1">
        <v>369.03</v>
      </c>
      <c r="P64" s="1">
        <v>4</v>
      </c>
      <c r="Q64" s="1">
        <f t="shared" si="2"/>
        <v>1476.12</v>
      </c>
      <c r="R64" s="1" t="s">
        <v>29</v>
      </c>
      <c r="S64" s="1">
        <f t="shared" si="9"/>
        <v>118.08959999999999</v>
      </c>
      <c r="T64" s="1">
        <f t="shared" si="10"/>
        <v>1358.0303999999999</v>
      </c>
      <c r="U64" s="1">
        <v>3</v>
      </c>
      <c r="V64" s="1">
        <f t="shared" si="11"/>
        <v>1414.0303999999999</v>
      </c>
      <c r="W64" s="1">
        <v>56</v>
      </c>
      <c r="X64" s="2">
        <v>45169</v>
      </c>
      <c r="Y64" s="1" t="s">
        <v>688</v>
      </c>
      <c r="Z64" s="1">
        <f t="shared" si="12"/>
        <v>1532.12</v>
      </c>
      <c r="AA64" s="1">
        <f t="shared" si="3"/>
        <v>4</v>
      </c>
      <c r="AB64" s="1" t="str">
        <f t="shared" si="4"/>
        <v>Late</v>
      </c>
      <c r="AC64" s="1">
        <f t="shared" si="5"/>
        <v>1476.12</v>
      </c>
      <c r="AD64" s="7">
        <f t="shared" si="13"/>
        <v>0.08</v>
      </c>
      <c r="AE64" s="1">
        <f t="shared" si="14"/>
        <v>118.08959999999999</v>
      </c>
      <c r="AF64" s="1">
        <f t="shared" si="8"/>
        <v>174.08959999999999</v>
      </c>
    </row>
    <row r="65" spans="1:32" ht="14.25" customHeight="1" x14ac:dyDescent="0.3">
      <c r="A65" s="1" t="s">
        <v>539</v>
      </c>
      <c r="B65" s="1" t="s">
        <v>540</v>
      </c>
      <c r="C65" s="1" t="s">
        <v>541</v>
      </c>
      <c r="D65" s="1" t="str">
        <f t="shared" si="0"/>
        <v>Jodi Whitney</v>
      </c>
      <c r="E65" s="1">
        <v>33</v>
      </c>
      <c r="F65" s="1" t="s">
        <v>45</v>
      </c>
      <c r="G65" s="1" t="s">
        <v>161</v>
      </c>
      <c r="H65" s="1" t="s">
        <v>542</v>
      </c>
      <c r="I65" s="1" t="s">
        <v>543</v>
      </c>
      <c r="J65" s="1" t="s">
        <v>1856</v>
      </c>
      <c r="K65" s="2">
        <v>45628</v>
      </c>
      <c r="L65" s="2" t="str">
        <f t="shared" si="1"/>
        <v>December</v>
      </c>
      <c r="M65" s="1" t="s">
        <v>1857</v>
      </c>
      <c r="N65" s="1" t="s">
        <v>423</v>
      </c>
      <c r="O65" s="1">
        <v>369.03</v>
      </c>
      <c r="P65" s="1">
        <v>4</v>
      </c>
      <c r="Q65" s="1">
        <f t="shared" si="2"/>
        <v>1476.12</v>
      </c>
      <c r="R65" s="1" t="s">
        <v>29</v>
      </c>
      <c r="S65" s="1">
        <f t="shared" si="9"/>
        <v>118.08959999999999</v>
      </c>
      <c r="T65" s="1">
        <f t="shared" si="10"/>
        <v>1358.0303999999999</v>
      </c>
      <c r="U65" s="1">
        <v>5</v>
      </c>
      <c r="V65" s="1">
        <f t="shared" si="11"/>
        <v>1406.0303999999999</v>
      </c>
      <c r="W65" s="1">
        <v>48</v>
      </c>
      <c r="X65" s="2">
        <v>45629</v>
      </c>
      <c r="Y65" s="1" t="s">
        <v>1858</v>
      </c>
      <c r="Z65" s="1">
        <f t="shared" si="12"/>
        <v>1524.12</v>
      </c>
      <c r="AA65" s="1">
        <f t="shared" si="3"/>
        <v>1</v>
      </c>
      <c r="AB65" s="1" t="str">
        <f t="shared" si="4"/>
        <v>BeforeTime</v>
      </c>
      <c r="AC65" s="1">
        <f t="shared" si="5"/>
        <v>1476.12</v>
      </c>
      <c r="AD65" s="7">
        <f t="shared" si="13"/>
        <v>0.08</v>
      </c>
      <c r="AE65" s="1">
        <f t="shared" si="14"/>
        <v>118.08959999999999</v>
      </c>
      <c r="AF65" s="1">
        <f t="shared" si="8"/>
        <v>166.08959999999999</v>
      </c>
    </row>
    <row r="66" spans="1:32" ht="14.25" customHeight="1" x14ac:dyDescent="0.3">
      <c r="A66" s="1" t="s">
        <v>468</v>
      </c>
      <c r="B66" s="1" t="s">
        <v>101</v>
      </c>
      <c r="C66" s="1" t="s">
        <v>469</v>
      </c>
      <c r="D66" s="1" t="str">
        <f t="shared" ref="D66:D129" si="15">_xlfn.CONCAT(B66," ",C66)</f>
        <v>Debra Hayes</v>
      </c>
      <c r="E66" s="1">
        <v>33</v>
      </c>
      <c r="F66" s="1" t="s">
        <v>22</v>
      </c>
      <c r="G66" s="1" t="s">
        <v>161</v>
      </c>
      <c r="H66" s="1" t="s">
        <v>470</v>
      </c>
      <c r="I66" s="1" t="s">
        <v>471</v>
      </c>
      <c r="J66" s="1" t="s">
        <v>1023</v>
      </c>
      <c r="K66" s="2">
        <v>45069</v>
      </c>
      <c r="L66" s="2" t="str">
        <f t="shared" ref="L66:L129" si="16">TEXT(K66,"mmmm")</f>
        <v>May</v>
      </c>
      <c r="M66" s="1" t="s">
        <v>1024</v>
      </c>
      <c r="N66" s="1" t="s">
        <v>864</v>
      </c>
      <c r="O66" s="1">
        <v>292.14999999999998</v>
      </c>
      <c r="P66" s="1">
        <v>5</v>
      </c>
      <c r="Q66" s="1">
        <f t="shared" ref="Q66:Q129" si="17">O66*P66</f>
        <v>1460.75</v>
      </c>
      <c r="R66" s="1" t="s">
        <v>89</v>
      </c>
      <c r="S66" s="1">
        <f t="shared" ref="S66:S129" si="18">IF(R66="FLAT8",O66*P66*8%,IF(R66="FLAT10",O66*P66*10%,IF(R66="FLAT15",O66*P66*15%,IF(R66="FLAT20",O66*P66*20%,0))))</f>
        <v>146.07500000000002</v>
      </c>
      <c r="T66" s="1">
        <f t="shared" ref="T66:T129" si="19">Q66-S66</f>
        <v>1314.675</v>
      </c>
      <c r="U66" s="1">
        <v>6</v>
      </c>
      <c r="V66" s="1">
        <f t="shared" ref="V66:V129" si="20">T66+W66</f>
        <v>1382.675</v>
      </c>
      <c r="W66" s="1">
        <v>68</v>
      </c>
      <c r="X66" s="2">
        <v>45071</v>
      </c>
      <c r="Y66" s="1" t="s">
        <v>1025</v>
      </c>
      <c r="Z66" s="1">
        <f t="shared" ref="Z66:Z129" si="21">(O66*P66)+W66</f>
        <v>1528.75</v>
      </c>
      <c r="AA66" s="1">
        <f t="shared" ref="AA66:AA129" si="22">X66-K66</f>
        <v>2</v>
      </c>
      <c r="AB66" s="1" t="str">
        <f t="shared" ref="AB66:AB129" si="23">IF(AA66&gt;U66,"Late",IF(AA66=U66,"Intime","BeforeTime"))</f>
        <v>BeforeTime</v>
      </c>
      <c r="AC66" s="1">
        <f t="shared" ref="AC66:AC129" si="24">O66*P66</f>
        <v>1460.75</v>
      </c>
      <c r="AD66" s="7">
        <f t="shared" ref="AD66:AD129" si="25">IF(R66="FLAT8",8%,IF(R66="FLAT10",10%,IF(R66="FLAT15",15%,IF(R66="FLAT20",20%,0))))</f>
        <v>0.1</v>
      </c>
      <c r="AE66" s="1">
        <f t="shared" ref="AE66:AE129" si="26">Q66*AD66</f>
        <v>146.07500000000002</v>
      </c>
      <c r="AF66" s="1">
        <f t="shared" ref="AF66:AF129" si="27">IF(R66="DEL0",AE66,AE66+W66)</f>
        <v>214.07500000000002</v>
      </c>
    </row>
    <row r="67" spans="1:32" ht="14.25" customHeight="1" x14ac:dyDescent="0.3">
      <c r="A67" s="1" t="s">
        <v>42</v>
      </c>
      <c r="B67" s="1" t="s">
        <v>43</v>
      </c>
      <c r="C67" s="1" t="s">
        <v>44</v>
      </c>
      <c r="D67" s="1" t="str">
        <f t="shared" si="15"/>
        <v>Karl Gallagher</v>
      </c>
      <c r="E67" s="1">
        <v>60</v>
      </c>
      <c r="F67" s="1" t="s">
        <v>45</v>
      </c>
      <c r="G67" s="1" t="s">
        <v>23</v>
      </c>
      <c r="H67" s="1" t="s">
        <v>46</v>
      </c>
      <c r="I67" s="1" t="s">
        <v>47</v>
      </c>
      <c r="J67" s="1" t="s">
        <v>109</v>
      </c>
      <c r="K67" s="2">
        <v>45588</v>
      </c>
      <c r="L67" s="2" t="str">
        <f t="shared" si="16"/>
        <v>October</v>
      </c>
      <c r="M67" s="1" t="s">
        <v>110</v>
      </c>
      <c r="N67" s="1" t="s">
        <v>88</v>
      </c>
      <c r="O67" s="1">
        <v>363.64</v>
      </c>
      <c r="P67" s="1">
        <v>4</v>
      </c>
      <c r="Q67" s="1">
        <f t="shared" si="17"/>
        <v>1454.56</v>
      </c>
      <c r="R67" s="1" t="s">
        <v>56</v>
      </c>
      <c r="S67" s="1">
        <f t="shared" si="18"/>
        <v>0</v>
      </c>
      <c r="T67" s="1">
        <f t="shared" si="19"/>
        <v>1454.56</v>
      </c>
      <c r="U67" s="1">
        <v>2</v>
      </c>
      <c r="V67" s="1">
        <f t="shared" si="20"/>
        <v>1489.56</v>
      </c>
      <c r="W67" s="1">
        <v>35</v>
      </c>
      <c r="X67" s="2">
        <v>45590</v>
      </c>
      <c r="Y67" s="1" t="s">
        <v>111</v>
      </c>
      <c r="Z67" s="1">
        <f t="shared" si="21"/>
        <v>1489.56</v>
      </c>
      <c r="AA67" s="1">
        <f t="shared" si="22"/>
        <v>2</v>
      </c>
      <c r="AB67" s="1" t="str">
        <f t="shared" si="23"/>
        <v>Intime</v>
      </c>
      <c r="AC67" s="1">
        <f t="shared" si="24"/>
        <v>1454.56</v>
      </c>
      <c r="AD67" s="7">
        <f t="shared" si="25"/>
        <v>0</v>
      </c>
      <c r="AE67" s="1">
        <f t="shared" si="26"/>
        <v>0</v>
      </c>
      <c r="AF67" s="1">
        <f t="shared" si="27"/>
        <v>0</v>
      </c>
    </row>
    <row r="68" spans="1:32" ht="14.25" customHeight="1" x14ac:dyDescent="0.3">
      <c r="A68" s="1" t="s">
        <v>1607</v>
      </c>
      <c r="B68" s="1" t="s">
        <v>266</v>
      </c>
      <c r="C68" s="1" t="s">
        <v>1608</v>
      </c>
      <c r="D68" s="1" t="str">
        <f t="shared" si="15"/>
        <v>Lauren Crane</v>
      </c>
      <c r="E68" s="1">
        <v>62</v>
      </c>
      <c r="F68" s="1" t="s">
        <v>34</v>
      </c>
      <c r="G68" s="1" t="s">
        <v>35</v>
      </c>
      <c r="H68" s="1" t="s">
        <v>1609</v>
      </c>
      <c r="I68" s="1" t="s">
        <v>1610</v>
      </c>
      <c r="J68" s="1" t="s">
        <v>1682</v>
      </c>
      <c r="K68" s="2">
        <v>45116</v>
      </c>
      <c r="L68" s="2" t="str">
        <f t="shared" si="16"/>
        <v>July</v>
      </c>
      <c r="M68" s="1" t="s">
        <v>1683</v>
      </c>
      <c r="N68" s="1" t="s">
        <v>88</v>
      </c>
      <c r="O68" s="1">
        <v>363.64</v>
      </c>
      <c r="P68" s="1">
        <v>4</v>
      </c>
      <c r="Q68" s="1">
        <f t="shared" si="17"/>
        <v>1454.56</v>
      </c>
      <c r="R68" s="1" t="s">
        <v>56</v>
      </c>
      <c r="S68" s="1">
        <f t="shared" si="18"/>
        <v>0</v>
      </c>
      <c r="T68" s="1">
        <f t="shared" si="19"/>
        <v>1454.56</v>
      </c>
      <c r="U68" s="1">
        <v>6</v>
      </c>
      <c r="V68" s="1">
        <f t="shared" si="20"/>
        <v>1510.56</v>
      </c>
      <c r="W68" s="1">
        <v>56</v>
      </c>
      <c r="X68" s="2">
        <v>45121</v>
      </c>
      <c r="Y68" s="1" t="s">
        <v>1684</v>
      </c>
      <c r="Z68" s="1">
        <f t="shared" si="21"/>
        <v>1510.56</v>
      </c>
      <c r="AA68" s="1">
        <f t="shared" si="22"/>
        <v>5</v>
      </c>
      <c r="AB68" s="1" t="str">
        <f t="shared" si="23"/>
        <v>BeforeTime</v>
      </c>
      <c r="AC68" s="1">
        <f t="shared" si="24"/>
        <v>1454.56</v>
      </c>
      <c r="AD68" s="7">
        <f t="shared" si="25"/>
        <v>0</v>
      </c>
      <c r="AE68" s="1">
        <f t="shared" si="26"/>
        <v>0</v>
      </c>
      <c r="AF68" s="1">
        <f t="shared" si="27"/>
        <v>0</v>
      </c>
    </row>
    <row r="69" spans="1:32" ht="14.25" customHeight="1" x14ac:dyDescent="0.3">
      <c r="A69" s="1" t="s">
        <v>672</v>
      </c>
      <c r="B69" s="1" t="s">
        <v>673</v>
      </c>
      <c r="C69" s="1" t="s">
        <v>674</v>
      </c>
      <c r="D69" s="1" t="str">
        <f t="shared" si="15"/>
        <v>Troy Gomez</v>
      </c>
      <c r="E69" s="1">
        <v>68</v>
      </c>
      <c r="F69" s="1" t="s">
        <v>22</v>
      </c>
      <c r="G69" s="1" t="s">
        <v>213</v>
      </c>
      <c r="H69" s="1" t="s">
        <v>675</v>
      </c>
      <c r="I69" s="1" t="s">
        <v>676</v>
      </c>
      <c r="J69" s="1" t="s">
        <v>1841</v>
      </c>
      <c r="K69" s="2">
        <v>45536</v>
      </c>
      <c r="L69" s="2" t="str">
        <f t="shared" si="16"/>
        <v>September</v>
      </c>
      <c r="M69" s="1" t="s">
        <v>1842</v>
      </c>
      <c r="N69" s="1" t="s">
        <v>88</v>
      </c>
      <c r="O69" s="1">
        <v>363.64</v>
      </c>
      <c r="P69" s="1">
        <v>4</v>
      </c>
      <c r="Q69" s="1">
        <f t="shared" si="17"/>
        <v>1454.56</v>
      </c>
      <c r="R69" s="1" t="s">
        <v>78</v>
      </c>
      <c r="S69" s="1">
        <f t="shared" si="18"/>
        <v>290.91199999999998</v>
      </c>
      <c r="T69" s="1">
        <f t="shared" si="19"/>
        <v>1163.6479999999999</v>
      </c>
      <c r="U69" s="1">
        <v>2</v>
      </c>
      <c r="V69" s="1">
        <f t="shared" si="20"/>
        <v>1205.6479999999999</v>
      </c>
      <c r="W69" s="1">
        <v>42</v>
      </c>
      <c r="X69" s="2">
        <v>45540</v>
      </c>
      <c r="Y69" s="1" t="s">
        <v>1843</v>
      </c>
      <c r="Z69" s="1">
        <f t="shared" si="21"/>
        <v>1496.56</v>
      </c>
      <c r="AA69" s="1">
        <f t="shared" si="22"/>
        <v>4</v>
      </c>
      <c r="AB69" s="1" t="str">
        <f t="shared" si="23"/>
        <v>Late</v>
      </c>
      <c r="AC69" s="1">
        <f t="shared" si="24"/>
        <v>1454.56</v>
      </c>
      <c r="AD69" s="7">
        <f t="shared" si="25"/>
        <v>0.2</v>
      </c>
      <c r="AE69" s="1">
        <f t="shared" si="26"/>
        <v>290.91199999999998</v>
      </c>
      <c r="AF69" s="1">
        <f t="shared" si="27"/>
        <v>332.91199999999998</v>
      </c>
    </row>
    <row r="70" spans="1:32" ht="14.25" customHeight="1" x14ac:dyDescent="0.3">
      <c r="A70" s="1" t="s">
        <v>1096</v>
      </c>
      <c r="B70" s="1" t="s">
        <v>1097</v>
      </c>
      <c r="C70" s="1" t="s">
        <v>1098</v>
      </c>
      <c r="D70" s="1" t="str">
        <f t="shared" si="15"/>
        <v>Gary Huff</v>
      </c>
      <c r="E70" s="1">
        <v>18</v>
      </c>
      <c r="F70" s="1" t="s">
        <v>22</v>
      </c>
      <c r="G70" s="1" t="s">
        <v>69</v>
      </c>
      <c r="H70" s="1" t="s">
        <v>1099</v>
      </c>
      <c r="I70" s="1" t="s">
        <v>1100</v>
      </c>
      <c r="J70" s="1" t="s">
        <v>1140</v>
      </c>
      <c r="K70" s="2">
        <v>45217</v>
      </c>
      <c r="L70" s="2" t="str">
        <f t="shared" si="16"/>
        <v>October</v>
      </c>
      <c r="M70" s="1" t="s">
        <v>1141</v>
      </c>
      <c r="N70" s="1" t="s">
        <v>316</v>
      </c>
      <c r="O70" s="1">
        <v>481.48</v>
      </c>
      <c r="P70" s="1">
        <v>3</v>
      </c>
      <c r="Q70" s="1">
        <f t="shared" si="17"/>
        <v>1444.44</v>
      </c>
      <c r="R70" s="1" t="s">
        <v>89</v>
      </c>
      <c r="S70" s="1">
        <f t="shared" si="18"/>
        <v>144.44400000000002</v>
      </c>
      <c r="T70" s="1">
        <f t="shared" si="19"/>
        <v>1299.9960000000001</v>
      </c>
      <c r="U70" s="1">
        <v>2</v>
      </c>
      <c r="V70" s="1">
        <f t="shared" si="20"/>
        <v>1341.9960000000001</v>
      </c>
      <c r="W70" s="1">
        <v>42</v>
      </c>
      <c r="X70" s="2">
        <v>45221</v>
      </c>
      <c r="Y70" s="1" t="s">
        <v>1142</v>
      </c>
      <c r="Z70" s="1">
        <f t="shared" si="21"/>
        <v>1486.44</v>
      </c>
      <c r="AA70" s="1">
        <f t="shared" si="22"/>
        <v>4</v>
      </c>
      <c r="AB70" s="1" t="str">
        <f t="shared" si="23"/>
        <v>Late</v>
      </c>
      <c r="AC70" s="1">
        <f t="shared" si="24"/>
        <v>1444.44</v>
      </c>
      <c r="AD70" s="7">
        <f t="shared" si="25"/>
        <v>0.1</v>
      </c>
      <c r="AE70" s="1">
        <f t="shared" si="26"/>
        <v>144.44400000000002</v>
      </c>
      <c r="AF70" s="1">
        <f t="shared" si="27"/>
        <v>186.44400000000002</v>
      </c>
    </row>
    <row r="71" spans="1:32" ht="14.25" customHeight="1" x14ac:dyDescent="0.3">
      <c r="A71" s="1" t="s">
        <v>394</v>
      </c>
      <c r="B71" s="1" t="s">
        <v>395</v>
      </c>
      <c r="C71" s="1" t="s">
        <v>396</v>
      </c>
      <c r="D71" s="1" t="str">
        <f t="shared" si="15"/>
        <v>Alexandra Smith</v>
      </c>
      <c r="E71" s="1">
        <v>70</v>
      </c>
      <c r="F71" s="1" t="s">
        <v>22</v>
      </c>
      <c r="G71" s="1" t="s">
        <v>23</v>
      </c>
      <c r="H71" s="1" t="s">
        <v>397</v>
      </c>
      <c r="I71" s="1" t="s">
        <v>398</v>
      </c>
      <c r="J71" s="1" t="s">
        <v>1381</v>
      </c>
      <c r="K71" s="2">
        <v>45455</v>
      </c>
      <c r="L71" s="2" t="str">
        <f t="shared" si="16"/>
        <v>June</v>
      </c>
      <c r="M71" s="1" t="s">
        <v>1382</v>
      </c>
      <c r="N71" s="1" t="s">
        <v>316</v>
      </c>
      <c r="O71" s="1">
        <v>481.48</v>
      </c>
      <c r="P71" s="1">
        <v>3</v>
      </c>
      <c r="Q71" s="1">
        <f t="shared" si="17"/>
        <v>1444.44</v>
      </c>
      <c r="R71" s="1" t="s">
        <v>78</v>
      </c>
      <c r="S71" s="1">
        <f t="shared" si="18"/>
        <v>288.88800000000003</v>
      </c>
      <c r="T71" s="1">
        <f t="shared" si="19"/>
        <v>1155.5520000000001</v>
      </c>
      <c r="U71" s="1">
        <v>5</v>
      </c>
      <c r="V71" s="1">
        <f t="shared" si="20"/>
        <v>1204.5520000000001</v>
      </c>
      <c r="W71" s="1">
        <v>49</v>
      </c>
      <c r="X71" s="2">
        <v>45462</v>
      </c>
      <c r="Y71" s="1" t="s">
        <v>1383</v>
      </c>
      <c r="Z71" s="1">
        <f t="shared" si="21"/>
        <v>1493.44</v>
      </c>
      <c r="AA71" s="1">
        <f t="shared" si="22"/>
        <v>7</v>
      </c>
      <c r="AB71" s="1" t="str">
        <f t="shared" si="23"/>
        <v>Late</v>
      </c>
      <c r="AC71" s="1">
        <f t="shared" si="24"/>
        <v>1444.44</v>
      </c>
      <c r="AD71" s="7">
        <f t="shared" si="25"/>
        <v>0.2</v>
      </c>
      <c r="AE71" s="1">
        <f t="shared" si="26"/>
        <v>288.88800000000003</v>
      </c>
      <c r="AF71" s="1">
        <f t="shared" si="27"/>
        <v>337.88800000000003</v>
      </c>
    </row>
    <row r="72" spans="1:32" ht="14.25" customHeight="1" x14ac:dyDescent="0.3">
      <c r="A72" s="1" t="s">
        <v>664</v>
      </c>
      <c r="B72" s="1" t="s">
        <v>665</v>
      </c>
      <c r="C72" s="1" t="s">
        <v>666</v>
      </c>
      <c r="D72" s="1" t="str">
        <f t="shared" si="15"/>
        <v>Christy Chang</v>
      </c>
      <c r="E72" s="1">
        <v>38</v>
      </c>
      <c r="F72" s="1" t="s">
        <v>34</v>
      </c>
      <c r="G72" s="1" t="s">
        <v>213</v>
      </c>
      <c r="H72" s="1" t="s">
        <v>667</v>
      </c>
      <c r="I72" s="1" t="s">
        <v>668</v>
      </c>
      <c r="J72" s="1" t="s">
        <v>669</v>
      </c>
      <c r="K72" s="2">
        <v>45203</v>
      </c>
      <c r="L72" s="2" t="str">
        <f t="shared" si="16"/>
        <v>October</v>
      </c>
      <c r="M72" s="1" t="s">
        <v>670</v>
      </c>
      <c r="N72" s="1" t="s">
        <v>566</v>
      </c>
      <c r="O72" s="1">
        <v>477.52</v>
      </c>
      <c r="P72" s="1">
        <v>3</v>
      </c>
      <c r="Q72" s="1">
        <f t="shared" si="17"/>
        <v>1432.56</v>
      </c>
      <c r="R72" s="1" t="s">
        <v>29</v>
      </c>
      <c r="S72" s="1">
        <f t="shared" si="18"/>
        <v>114.6048</v>
      </c>
      <c r="T72" s="1">
        <f t="shared" si="19"/>
        <v>1317.9551999999999</v>
      </c>
      <c r="U72" s="1">
        <v>7</v>
      </c>
      <c r="V72" s="1">
        <f t="shared" si="20"/>
        <v>1383.9551999999999</v>
      </c>
      <c r="W72" s="1">
        <v>66</v>
      </c>
      <c r="X72" s="2">
        <v>45208</v>
      </c>
      <c r="Y72" s="1" t="s">
        <v>671</v>
      </c>
      <c r="Z72" s="1">
        <f t="shared" si="21"/>
        <v>1498.56</v>
      </c>
      <c r="AA72" s="1">
        <f t="shared" si="22"/>
        <v>5</v>
      </c>
      <c r="AB72" s="1" t="str">
        <f t="shared" si="23"/>
        <v>BeforeTime</v>
      </c>
      <c r="AC72" s="1">
        <f t="shared" si="24"/>
        <v>1432.56</v>
      </c>
      <c r="AD72" s="7">
        <f t="shared" si="25"/>
        <v>0.08</v>
      </c>
      <c r="AE72" s="1">
        <f t="shared" si="26"/>
        <v>114.6048</v>
      </c>
      <c r="AF72" s="1">
        <f t="shared" si="27"/>
        <v>180.60480000000001</v>
      </c>
    </row>
    <row r="73" spans="1:32" ht="14.25" customHeight="1" x14ac:dyDescent="0.3">
      <c r="A73" s="1" t="s">
        <v>1325</v>
      </c>
      <c r="B73" s="1" t="s">
        <v>1326</v>
      </c>
      <c r="C73" s="1" t="s">
        <v>388</v>
      </c>
      <c r="D73" s="1" t="str">
        <f t="shared" si="15"/>
        <v>Veronica Lopez</v>
      </c>
      <c r="E73" s="1">
        <v>18</v>
      </c>
      <c r="F73" s="1" t="s">
        <v>34</v>
      </c>
      <c r="G73" s="1" t="s">
        <v>213</v>
      </c>
      <c r="H73" s="1" t="s">
        <v>1327</v>
      </c>
      <c r="I73" s="1" t="s">
        <v>1328</v>
      </c>
      <c r="J73" s="1" t="s">
        <v>1536</v>
      </c>
      <c r="K73" s="2">
        <v>45682</v>
      </c>
      <c r="L73" s="2" t="str">
        <f t="shared" si="16"/>
        <v>January</v>
      </c>
      <c r="M73" s="1" t="s">
        <v>1537</v>
      </c>
      <c r="N73" s="1" t="s">
        <v>566</v>
      </c>
      <c r="O73" s="1">
        <v>477.52</v>
      </c>
      <c r="P73" s="1">
        <v>3</v>
      </c>
      <c r="Q73" s="1">
        <f t="shared" si="17"/>
        <v>1432.56</v>
      </c>
      <c r="R73" s="1" t="s">
        <v>78</v>
      </c>
      <c r="S73" s="1">
        <f t="shared" si="18"/>
        <v>286.512</v>
      </c>
      <c r="T73" s="1">
        <f t="shared" si="19"/>
        <v>1146.048</v>
      </c>
      <c r="U73" s="1">
        <v>7</v>
      </c>
      <c r="V73" s="1">
        <f t="shared" si="20"/>
        <v>1187.048</v>
      </c>
      <c r="W73" s="1">
        <v>41</v>
      </c>
      <c r="X73" s="2">
        <v>45686</v>
      </c>
      <c r="Y73" s="1" t="s">
        <v>1538</v>
      </c>
      <c r="Z73" s="1">
        <f t="shared" si="21"/>
        <v>1473.56</v>
      </c>
      <c r="AA73" s="1">
        <f t="shared" si="22"/>
        <v>4</v>
      </c>
      <c r="AB73" s="1" t="str">
        <f t="shared" si="23"/>
        <v>BeforeTime</v>
      </c>
      <c r="AC73" s="1">
        <f t="shared" si="24"/>
        <v>1432.56</v>
      </c>
      <c r="AD73" s="7">
        <f t="shared" si="25"/>
        <v>0.2</v>
      </c>
      <c r="AE73" s="1">
        <f t="shared" si="26"/>
        <v>286.512</v>
      </c>
      <c r="AF73" s="1">
        <f t="shared" si="27"/>
        <v>327.512</v>
      </c>
    </row>
    <row r="74" spans="1:32" ht="14.25" customHeight="1" x14ac:dyDescent="0.3">
      <c r="A74" s="1" t="s">
        <v>149</v>
      </c>
      <c r="B74" s="1" t="s">
        <v>150</v>
      </c>
      <c r="C74" s="1" t="s">
        <v>151</v>
      </c>
      <c r="D74" s="1" t="str">
        <f t="shared" si="15"/>
        <v>Joshua Campbell</v>
      </c>
      <c r="E74" s="1">
        <v>24</v>
      </c>
      <c r="F74" s="1" t="s">
        <v>22</v>
      </c>
      <c r="G74" s="1" t="s">
        <v>152</v>
      </c>
      <c r="H74" s="1" t="s">
        <v>153</v>
      </c>
      <c r="I74" s="1" t="s">
        <v>154</v>
      </c>
      <c r="J74" s="1" t="s">
        <v>622</v>
      </c>
      <c r="K74" s="2">
        <v>45555</v>
      </c>
      <c r="L74" s="2" t="str">
        <f t="shared" si="16"/>
        <v>September</v>
      </c>
      <c r="M74" s="1" t="s">
        <v>623</v>
      </c>
      <c r="N74" s="1" t="s">
        <v>466</v>
      </c>
      <c r="O74" s="1">
        <v>286.07</v>
      </c>
      <c r="P74" s="1">
        <v>5</v>
      </c>
      <c r="Q74" s="1">
        <f t="shared" si="17"/>
        <v>1430.35</v>
      </c>
      <c r="R74" s="1" t="s">
        <v>51</v>
      </c>
      <c r="S74" s="1">
        <f t="shared" si="18"/>
        <v>214.55249999999998</v>
      </c>
      <c r="T74" s="1">
        <f t="shared" si="19"/>
        <v>1215.7974999999999</v>
      </c>
      <c r="U74" s="1">
        <v>5</v>
      </c>
      <c r="V74" s="1">
        <f t="shared" si="20"/>
        <v>1280.7974999999999</v>
      </c>
      <c r="W74" s="1">
        <v>65</v>
      </c>
      <c r="X74" s="2">
        <v>45558</v>
      </c>
      <c r="Y74" s="1" t="s">
        <v>624</v>
      </c>
      <c r="Z74" s="1">
        <f t="shared" si="21"/>
        <v>1495.35</v>
      </c>
      <c r="AA74" s="1">
        <f t="shared" si="22"/>
        <v>3</v>
      </c>
      <c r="AB74" s="1" t="str">
        <f t="shared" si="23"/>
        <v>BeforeTime</v>
      </c>
      <c r="AC74" s="1">
        <f t="shared" si="24"/>
        <v>1430.35</v>
      </c>
      <c r="AD74" s="7">
        <f t="shared" si="25"/>
        <v>0.15</v>
      </c>
      <c r="AE74" s="1">
        <f t="shared" si="26"/>
        <v>214.55249999999998</v>
      </c>
      <c r="AF74" s="1">
        <f t="shared" si="27"/>
        <v>279.55250000000001</v>
      </c>
    </row>
    <row r="75" spans="1:32" ht="14.25" customHeight="1" x14ac:dyDescent="0.3">
      <c r="A75" s="1" t="s">
        <v>760</v>
      </c>
      <c r="B75" s="1" t="s">
        <v>761</v>
      </c>
      <c r="C75" s="1" t="s">
        <v>762</v>
      </c>
      <c r="D75" s="1" t="str">
        <f t="shared" si="15"/>
        <v>Kristina Haynes</v>
      </c>
      <c r="E75" s="1">
        <v>27</v>
      </c>
      <c r="F75" s="1" t="s">
        <v>22</v>
      </c>
      <c r="G75" s="1" t="s">
        <v>35</v>
      </c>
      <c r="H75" s="1" t="s">
        <v>763</v>
      </c>
      <c r="I75" s="1" t="s">
        <v>764</v>
      </c>
      <c r="J75" s="1" t="s">
        <v>878</v>
      </c>
      <c r="K75" s="2">
        <v>44983</v>
      </c>
      <c r="L75" s="2" t="str">
        <f t="shared" si="16"/>
        <v>February</v>
      </c>
      <c r="M75" s="1" t="s">
        <v>879</v>
      </c>
      <c r="N75" s="1" t="s">
        <v>466</v>
      </c>
      <c r="O75" s="1">
        <v>286.07</v>
      </c>
      <c r="P75" s="1">
        <v>5</v>
      </c>
      <c r="Q75" s="1">
        <f t="shared" si="17"/>
        <v>1430.35</v>
      </c>
      <c r="R75" s="1" t="s">
        <v>78</v>
      </c>
      <c r="S75" s="1">
        <f t="shared" si="18"/>
        <v>286.07</v>
      </c>
      <c r="T75" s="1">
        <f t="shared" si="19"/>
        <v>1144.28</v>
      </c>
      <c r="U75" s="1">
        <v>1</v>
      </c>
      <c r="V75" s="1">
        <f t="shared" si="20"/>
        <v>1196.28</v>
      </c>
      <c r="W75" s="1">
        <v>52</v>
      </c>
      <c r="X75" s="2">
        <v>44986</v>
      </c>
      <c r="Y75" s="1" t="s">
        <v>880</v>
      </c>
      <c r="Z75" s="1">
        <f t="shared" si="21"/>
        <v>1482.35</v>
      </c>
      <c r="AA75" s="1">
        <f t="shared" si="22"/>
        <v>3</v>
      </c>
      <c r="AB75" s="1" t="str">
        <f t="shared" si="23"/>
        <v>Late</v>
      </c>
      <c r="AC75" s="1">
        <f t="shared" si="24"/>
        <v>1430.35</v>
      </c>
      <c r="AD75" s="7">
        <f t="shared" si="25"/>
        <v>0.2</v>
      </c>
      <c r="AE75" s="1">
        <f t="shared" si="26"/>
        <v>286.07</v>
      </c>
      <c r="AF75" s="1">
        <f t="shared" si="27"/>
        <v>338.07</v>
      </c>
    </row>
    <row r="76" spans="1:32" ht="14.25" customHeight="1" x14ac:dyDescent="0.3">
      <c r="A76" s="1" t="s">
        <v>229</v>
      </c>
      <c r="B76" s="1" t="s">
        <v>59</v>
      </c>
      <c r="C76" s="1" t="s">
        <v>230</v>
      </c>
      <c r="D76" s="1" t="str">
        <f t="shared" si="15"/>
        <v>Angela Evans</v>
      </c>
      <c r="E76" s="1">
        <v>52</v>
      </c>
      <c r="F76" s="1" t="s">
        <v>45</v>
      </c>
      <c r="G76" s="1" t="s">
        <v>35</v>
      </c>
      <c r="H76" s="1" t="s">
        <v>231</v>
      </c>
      <c r="I76" s="1" t="s">
        <v>232</v>
      </c>
      <c r="J76" s="1" t="s">
        <v>1685</v>
      </c>
      <c r="K76" s="2">
        <v>45397</v>
      </c>
      <c r="L76" s="2" t="str">
        <f t="shared" si="16"/>
        <v>April</v>
      </c>
      <c r="M76" s="1" t="s">
        <v>1686</v>
      </c>
      <c r="N76" s="1" t="s">
        <v>466</v>
      </c>
      <c r="O76" s="1">
        <v>286.07</v>
      </c>
      <c r="P76" s="1">
        <v>5</v>
      </c>
      <c r="Q76" s="1">
        <f t="shared" si="17"/>
        <v>1430.35</v>
      </c>
      <c r="R76" s="1" t="s">
        <v>56</v>
      </c>
      <c r="S76" s="1">
        <f t="shared" si="18"/>
        <v>0</v>
      </c>
      <c r="T76" s="1">
        <f t="shared" si="19"/>
        <v>1430.35</v>
      </c>
      <c r="U76" s="1">
        <v>1</v>
      </c>
      <c r="V76" s="1">
        <f t="shared" si="20"/>
        <v>1471.35</v>
      </c>
      <c r="W76" s="1">
        <v>41</v>
      </c>
      <c r="X76" s="2">
        <v>45404</v>
      </c>
      <c r="Y76" s="1" t="s">
        <v>1687</v>
      </c>
      <c r="Z76" s="1">
        <f t="shared" si="21"/>
        <v>1471.35</v>
      </c>
      <c r="AA76" s="1">
        <f t="shared" si="22"/>
        <v>7</v>
      </c>
      <c r="AB76" s="1" t="str">
        <f t="shared" si="23"/>
        <v>Late</v>
      </c>
      <c r="AC76" s="1">
        <f t="shared" si="24"/>
        <v>1430.35</v>
      </c>
      <c r="AD76" s="7">
        <f t="shared" si="25"/>
        <v>0</v>
      </c>
      <c r="AE76" s="1">
        <f t="shared" si="26"/>
        <v>0</v>
      </c>
      <c r="AF76" s="1">
        <f t="shared" si="27"/>
        <v>0</v>
      </c>
    </row>
    <row r="77" spans="1:32" ht="14.25" customHeight="1" x14ac:dyDescent="0.3">
      <c r="A77" s="1" t="s">
        <v>1214</v>
      </c>
      <c r="B77" s="1" t="s">
        <v>1215</v>
      </c>
      <c r="C77" s="1" t="s">
        <v>1216</v>
      </c>
      <c r="D77" s="1" t="str">
        <f t="shared" si="15"/>
        <v>Jessica Ruiz</v>
      </c>
      <c r="E77" s="1">
        <v>19</v>
      </c>
      <c r="F77" s="1" t="s">
        <v>34</v>
      </c>
      <c r="G77" s="1" t="s">
        <v>69</v>
      </c>
      <c r="H77" s="1" t="s">
        <v>1217</v>
      </c>
      <c r="I77" s="1" t="s">
        <v>1218</v>
      </c>
      <c r="J77" s="1" t="s">
        <v>1357</v>
      </c>
      <c r="K77" s="2">
        <v>45201</v>
      </c>
      <c r="L77" s="2" t="str">
        <f t="shared" si="16"/>
        <v>October</v>
      </c>
      <c r="M77" s="1" t="s">
        <v>1358</v>
      </c>
      <c r="N77" s="1" t="s">
        <v>218</v>
      </c>
      <c r="O77" s="1">
        <v>461.07</v>
      </c>
      <c r="P77" s="1">
        <v>3</v>
      </c>
      <c r="Q77" s="1">
        <f t="shared" si="17"/>
        <v>1383.21</v>
      </c>
      <c r="R77" s="1" t="s">
        <v>89</v>
      </c>
      <c r="S77" s="1">
        <f t="shared" si="18"/>
        <v>138.321</v>
      </c>
      <c r="T77" s="1">
        <f t="shared" si="19"/>
        <v>1244.8890000000001</v>
      </c>
      <c r="U77" s="1">
        <v>1</v>
      </c>
      <c r="V77" s="1">
        <f t="shared" si="20"/>
        <v>1305.8890000000001</v>
      </c>
      <c r="W77" s="1">
        <v>61</v>
      </c>
      <c r="X77" s="2">
        <v>45202</v>
      </c>
      <c r="Y77" s="1" t="s">
        <v>1359</v>
      </c>
      <c r="Z77" s="1">
        <f t="shared" si="21"/>
        <v>1444.21</v>
      </c>
      <c r="AA77" s="1">
        <f t="shared" si="22"/>
        <v>1</v>
      </c>
      <c r="AB77" s="1" t="str">
        <f t="shared" si="23"/>
        <v>Intime</v>
      </c>
      <c r="AC77" s="1">
        <f t="shared" si="24"/>
        <v>1383.21</v>
      </c>
      <c r="AD77" s="7">
        <f t="shared" si="25"/>
        <v>0.1</v>
      </c>
      <c r="AE77" s="1">
        <f t="shared" si="26"/>
        <v>138.321</v>
      </c>
      <c r="AF77" s="1">
        <f t="shared" si="27"/>
        <v>199.321</v>
      </c>
    </row>
    <row r="78" spans="1:32" ht="14.25" customHeight="1" x14ac:dyDescent="0.3">
      <c r="A78" s="1" t="s">
        <v>229</v>
      </c>
      <c r="B78" s="1" t="s">
        <v>59</v>
      </c>
      <c r="C78" s="1" t="s">
        <v>230</v>
      </c>
      <c r="D78" s="1" t="str">
        <f t="shared" si="15"/>
        <v>Angela Evans</v>
      </c>
      <c r="E78" s="1">
        <v>52</v>
      </c>
      <c r="F78" s="1" t="s">
        <v>45</v>
      </c>
      <c r="G78" s="1" t="s">
        <v>35</v>
      </c>
      <c r="H78" s="1" t="s">
        <v>231</v>
      </c>
      <c r="I78" s="1" t="s">
        <v>232</v>
      </c>
      <c r="J78" s="1" t="s">
        <v>1972</v>
      </c>
      <c r="K78" s="2">
        <v>45354</v>
      </c>
      <c r="L78" s="2" t="str">
        <f t="shared" si="16"/>
        <v>March</v>
      </c>
      <c r="M78" s="1" t="s">
        <v>1973</v>
      </c>
      <c r="N78" s="1" t="s">
        <v>218</v>
      </c>
      <c r="O78" s="1">
        <v>461.07</v>
      </c>
      <c r="P78" s="1">
        <v>3</v>
      </c>
      <c r="Q78" s="1">
        <f t="shared" si="17"/>
        <v>1383.21</v>
      </c>
      <c r="R78" s="1" t="s">
        <v>51</v>
      </c>
      <c r="S78" s="1">
        <f t="shared" si="18"/>
        <v>207.48150000000001</v>
      </c>
      <c r="T78" s="1">
        <f t="shared" si="19"/>
        <v>1175.7284999999999</v>
      </c>
      <c r="U78" s="1">
        <v>4</v>
      </c>
      <c r="V78" s="1">
        <f t="shared" si="20"/>
        <v>1229.7284999999999</v>
      </c>
      <c r="W78" s="1">
        <v>54</v>
      </c>
      <c r="X78" s="2">
        <v>45357</v>
      </c>
      <c r="Y78" s="1" t="s">
        <v>1974</v>
      </c>
      <c r="Z78" s="1">
        <f t="shared" si="21"/>
        <v>1437.21</v>
      </c>
      <c r="AA78" s="1">
        <f t="shared" si="22"/>
        <v>3</v>
      </c>
      <c r="AB78" s="1" t="str">
        <f t="shared" si="23"/>
        <v>BeforeTime</v>
      </c>
      <c r="AC78" s="1">
        <f t="shared" si="24"/>
        <v>1383.21</v>
      </c>
      <c r="AD78" s="7">
        <f t="shared" si="25"/>
        <v>0.15</v>
      </c>
      <c r="AE78" s="1">
        <f t="shared" si="26"/>
        <v>207.48150000000001</v>
      </c>
      <c r="AF78" s="1">
        <f t="shared" si="27"/>
        <v>261.48149999999998</v>
      </c>
    </row>
    <row r="79" spans="1:32" ht="14.25" customHeight="1" x14ac:dyDescent="0.3">
      <c r="A79" s="1" t="s">
        <v>832</v>
      </c>
      <c r="B79" s="1" t="s">
        <v>833</v>
      </c>
      <c r="C79" s="1" t="s">
        <v>834</v>
      </c>
      <c r="D79" s="1" t="str">
        <f t="shared" si="15"/>
        <v>Leslie Montgomery</v>
      </c>
      <c r="E79" s="1">
        <v>26</v>
      </c>
      <c r="F79" s="1" t="s">
        <v>34</v>
      </c>
      <c r="G79" s="1" t="s">
        <v>152</v>
      </c>
      <c r="H79" s="1" t="s">
        <v>835</v>
      </c>
      <c r="I79" s="1" t="s">
        <v>836</v>
      </c>
      <c r="J79" s="1" t="s">
        <v>1524</v>
      </c>
      <c r="K79" s="2">
        <v>45627</v>
      </c>
      <c r="L79" s="2" t="str">
        <f t="shared" si="16"/>
        <v>December</v>
      </c>
      <c r="M79" s="1" t="s">
        <v>1525</v>
      </c>
      <c r="N79" s="1" t="s">
        <v>166</v>
      </c>
      <c r="O79" s="1">
        <v>272.51</v>
      </c>
      <c r="P79" s="1">
        <v>5</v>
      </c>
      <c r="Q79" s="1">
        <f t="shared" si="17"/>
        <v>1362.55</v>
      </c>
      <c r="R79" s="1" t="s">
        <v>89</v>
      </c>
      <c r="S79" s="1">
        <f t="shared" si="18"/>
        <v>136.255</v>
      </c>
      <c r="T79" s="1">
        <f t="shared" si="19"/>
        <v>1226.2950000000001</v>
      </c>
      <c r="U79" s="1">
        <v>4</v>
      </c>
      <c r="V79" s="1">
        <f t="shared" si="20"/>
        <v>1271.2950000000001</v>
      </c>
      <c r="W79" s="1">
        <v>45</v>
      </c>
      <c r="X79" s="2">
        <v>45630</v>
      </c>
      <c r="Y79" s="1" t="s">
        <v>1526</v>
      </c>
      <c r="Z79" s="1">
        <f t="shared" si="21"/>
        <v>1407.55</v>
      </c>
      <c r="AA79" s="1">
        <f t="shared" si="22"/>
        <v>3</v>
      </c>
      <c r="AB79" s="1" t="str">
        <f t="shared" si="23"/>
        <v>BeforeTime</v>
      </c>
      <c r="AC79" s="1">
        <f t="shared" si="24"/>
        <v>1362.55</v>
      </c>
      <c r="AD79" s="7">
        <f t="shared" si="25"/>
        <v>0.1</v>
      </c>
      <c r="AE79" s="1">
        <f t="shared" si="26"/>
        <v>136.255</v>
      </c>
      <c r="AF79" s="1">
        <f t="shared" si="27"/>
        <v>181.255</v>
      </c>
    </row>
    <row r="80" spans="1:32" ht="14.25" customHeight="1" x14ac:dyDescent="0.3">
      <c r="A80" s="1" t="s">
        <v>1925</v>
      </c>
      <c r="B80" s="1" t="s">
        <v>1926</v>
      </c>
      <c r="C80" s="1" t="s">
        <v>1927</v>
      </c>
      <c r="D80" s="1" t="str">
        <f t="shared" si="15"/>
        <v>Diana French</v>
      </c>
      <c r="E80" s="1">
        <v>54</v>
      </c>
      <c r="F80" s="1" t="s">
        <v>34</v>
      </c>
      <c r="G80" s="1" t="s">
        <v>69</v>
      </c>
      <c r="H80" s="1" t="s">
        <v>1928</v>
      </c>
      <c r="I80" s="1" t="s">
        <v>1929</v>
      </c>
      <c r="J80" s="1" t="s">
        <v>2040</v>
      </c>
      <c r="K80" s="2">
        <v>45381</v>
      </c>
      <c r="L80" s="2" t="str">
        <f t="shared" si="16"/>
        <v>March</v>
      </c>
      <c r="M80" s="1" t="s">
        <v>2041</v>
      </c>
      <c r="N80" s="1" t="s">
        <v>166</v>
      </c>
      <c r="O80" s="1">
        <v>272.51</v>
      </c>
      <c r="P80" s="1">
        <v>5</v>
      </c>
      <c r="Q80" s="1">
        <f t="shared" si="17"/>
        <v>1362.55</v>
      </c>
      <c r="R80" s="1" t="s">
        <v>56</v>
      </c>
      <c r="S80" s="1">
        <f t="shared" si="18"/>
        <v>0</v>
      </c>
      <c r="T80" s="1">
        <f t="shared" si="19"/>
        <v>1362.55</v>
      </c>
      <c r="U80" s="1">
        <v>3</v>
      </c>
      <c r="V80" s="1">
        <f t="shared" si="20"/>
        <v>1428.55</v>
      </c>
      <c r="W80" s="1">
        <v>66</v>
      </c>
      <c r="X80" s="2">
        <v>45388</v>
      </c>
      <c r="Y80" s="1" t="s">
        <v>2042</v>
      </c>
      <c r="Z80" s="1">
        <f t="shared" si="21"/>
        <v>1428.55</v>
      </c>
      <c r="AA80" s="1">
        <f t="shared" si="22"/>
        <v>7</v>
      </c>
      <c r="AB80" s="1" t="str">
        <f t="shared" si="23"/>
        <v>Late</v>
      </c>
      <c r="AC80" s="1">
        <f t="shared" si="24"/>
        <v>1362.55</v>
      </c>
      <c r="AD80" s="7">
        <f t="shared" si="25"/>
        <v>0</v>
      </c>
      <c r="AE80" s="1">
        <f t="shared" si="26"/>
        <v>0</v>
      </c>
      <c r="AF80" s="1">
        <f t="shared" si="27"/>
        <v>0</v>
      </c>
    </row>
    <row r="81" spans="1:32" ht="14.25" customHeight="1" x14ac:dyDescent="0.3">
      <c r="A81" s="1" t="s">
        <v>194</v>
      </c>
      <c r="B81" s="1" t="s">
        <v>195</v>
      </c>
      <c r="C81" s="1" t="s">
        <v>196</v>
      </c>
      <c r="D81" s="1" t="str">
        <f t="shared" si="15"/>
        <v>Deborah Bates</v>
      </c>
      <c r="E81" s="1">
        <v>23</v>
      </c>
      <c r="F81" s="1" t="s">
        <v>22</v>
      </c>
      <c r="G81" s="1" t="s">
        <v>83</v>
      </c>
      <c r="H81" s="1" t="s">
        <v>197</v>
      </c>
      <c r="I81" s="1" t="s">
        <v>198</v>
      </c>
      <c r="J81" s="1" t="s">
        <v>1717</v>
      </c>
      <c r="K81" s="2">
        <v>45477</v>
      </c>
      <c r="L81" s="2" t="str">
        <f t="shared" si="16"/>
        <v>July</v>
      </c>
      <c r="M81" s="1" t="s">
        <v>1718</v>
      </c>
      <c r="N81" s="1" t="s">
        <v>630</v>
      </c>
      <c r="O81" s="1">
        <v>445.81</v>
      </c>
      <c r="P81" s="1">
        <v>3</v>
      </c>
      <c r="Q81" s="1">
        <f t="shared" si="17"/>
        <v>1337.43</v>
      </c>
      <c r="R81" s="1" t="s">
        <v>29</v>
      </c>
      <c r="S81" s="1">
        <f t="shared" si="18"/>
        <v>106.99440000000001</v>
      </c>
      <c r="T81" s="1">
        <f t="shared" si="19"/>
        <v>1230.4356</v>
      </c>
      <c r="U81" s="1">
        <v>1</v>
      </c>
      <c r="V81" s="1">
        <f t="shared" si="20"/>
        <v>1267.4356</v>
      </c>
      <c r="W81" s="1">
        <v>37</v>
      </c>
      <c r="X81" s="2">
        <v>45478</v>
      </c>
      <c r="Y81" s="1" t="s">
        <v>1719</v>
      </c>
      <c r="Z81" s="1">
        <f t="shared" si="21"/>
        <v>1374.43</v>
      </c>
      <c r="AA81" s="1">
        <f t="shared" si="22"/>
        <v>1</v>
      </c>
      <c r="AB81" s="1" t="str">
        <f t="shared" si="23"/>
        <v>Intime</v>
      </c>
      <c r="AC81" s="1">
        <f t="shared" si="24"/>
        <v>1337.43</v>
      </c>
      <c r="AD81" s="7">
        <f t="shared" si="25"/>
        <v>0.08</v>
      </c>
      <c r="AE81" s="1">
        <f t="shared" si="26"/>
        <v>106.99440000000001</v>
      </c>
      <c r="AF81" s="1">
        <f t="shared" si="27"/>
        <v>143.99440000000001</v>
      </c>
    </row>
    <row r="82" spans="1:32" ht="14.25" customHeight="1" x14ac:dyDescent="0.3">
      <c r="A82" s="1" t="s">
        <v>309</v>
      </c>
      <c r="B82" s="1" t="s">
        <v>310</v>
      </c>
      <c r="C82" s="1" t="s">
        <v>311</v>
      </c>
      <c r="D82" s="1" t="str">
        <f t="shared" si="15"/>
        <v>Jenny Estrada</v>
      </c>
      <c r="E82" s="1">
        <v>45</v>
      </c>
      <c r="F82" s="1" t="s">
        <v>22</v>
      </c>
      <c r="G82" s="1" t="s">
        <v>35</v>
      </c>
      <c r="H82" s="1" t="s">
        <v>312</v>
      </c>
      <c r="I82" s="1" t="s">
        <v>313</v>
      </c>
      <c r="J82" s="1" t="s">
        <v>1945</v>
      </c>
      <c r="K82" s="2">
        <v>45103</v>
      </c>
      <c r="L82" s="2" t="str">
        <f t="shared" si="16"/>
        <v>June</v>
      </c>
      <c r="M82" s="1" t="s">
        <v>1946</v>
      </c>
      <c r="N82" s="1" t="s">
        <v>630</v>
      </c>
      <c r="O82" s="1">
        <v>445.81</v>
      </c>
      <c r="P82" s="1">
        <v>3</v>
      </c>
      <c r="Q82" s="1">
        <f t="shared" si="17"/>
        <v>1337.43</v>
      </c>
      <c r="R82" s="1" t="s">
        <v>78</v>
      </c>
      <c r="S82" s="1">
        <f t="shared" si="18"/>
        <v>267.48600000000005</v>
      </c>
      <c r="T82" s="1">
        <f t="shared" si="19"/>
        <v>1069.944</v>
      </c>
      <c r="U82" s="1">
        <v>1</v>
      </c>
      <c r="V82" s="1">
        <f t="shared" si="20"/>
        <v>1127.944</v>
      </c>
      <c r="W82" s="1">
        <v>58</v>
      </c>
      <c r="X82" s="2">
        <v>45109</v>
      </c>
      <c r="Y82" s="1" t="s">
        <v>1947</v>
      </c>
      <c r="Z82" s="1">
        <f t="shared" si="21"/>
        <v>1395.43</v>
      </c>
      <c r="AA82" s="1">
        <f t="shared" si="22"/>
        <v>6</v>
      </c>
      <c r="AB82" s="1" t="str">
        <f t="shared" si="23"/>
        <v>Late</v>
      </c>
      <c r="AC82" s="1">
        <f t="shared" si="24"/>
        <v>1337.43</v>
      </c>
      <c r="AD82" s="7">
        <f t="shared" si="25"/>
        <v>0.2</v>
      </c>
      <c r="AE82" s="1">
        <f t="shared" si="26"/>
        <v>267.48600000000005</v>
      </c>
      <c r="AF82" s="1">
        <f t="shared" si="27"/>
        <v>325.48600000000005</v>
      </c>
    </row>
    <row r="83" spans="1:32" ht="14.25" customHeight="1" x14ac:dyDescent="0.3">
      <c r="A83" s="1" t="s">
        <v>1231</v>
      </c>
      <c r="B83" s="1" t="s">
        <v>1232</v>
      </c>
      <c r="C83" s="1" t="s">
        <v>1233</v>
      </c>
      <c r="D83" s="1" t="str">
        <f t="shared" si="15"/>
        <v>Hannah Gutierrez</v>
      </c>
      <c r="E83" s="1">
        <v>55</v>
      </c>
      <c r="F83" s="1" t="s">
        <v>34</v>
      </c>
      <c r="G83" s="1" t="s">
        <v>152</v>
      </c>
      <c r="H83" s="1" t="s">
        <v>1234</v>
      </c>
      <c r="I83" s="1" t="s">
        <v>1235</v>
      </c>
      <c r="J83" s="1" t="s">
        <v>1236</v>
      </c>
      <c r="K83" s="2">
        <v>45470</v>
      </c>
      <c r="L83" s="2" t="str">
        <f t="shared" si="16"/>
        <v>June</v>
      </c>
      <c r="M83" s="1" t="s">
        <v>1237</v>
      </c>
      <c r="N83" s="1" t="s">
        <v>511</v>
      </c>
      <c r="O83" s="1">
        <v>441.03</v>
      </c>
      <c r="P83" s="1">
        <v>3</v>
      </c>
      <c r="Q83" s="1">
        <f t="shared" si="17"/>
        <v>1323.09</v>
      </c>
      <c r="R83" s="1" t="s">
        <v>56</v>
      </c>
      <c r="S83" s="1">
        <f t="shared" si="18"/>
        <v>0</v>
      </c>
      <c r="T83" s="1">
        <f t="shared" si="19"/>
        <v>1323.09</v>
      </c>
      <c r="U83" s="1">
        <v>4</v>
      </c>
      <c r="V83" s="1">
        <f t="shared" si="20"/>
        <v>1370.09</v>
      </c>
      <c r="W83" s="1">
        <v>47</v>
      </c>
      <c r="X83" s="2">
        <v>45473</v>
      </c>
      <c r="Y83" s="1" t="s">
        <v>1238</v>
      </c>
      <c r="Z83" s="1">
        <f t="shared" si="21"/>
        <v>1370.09</v>
      </c>
      <c r="AA83" s="1">
        <f t="shared" si="22"/>
        <v>3</v>
      </c>
      <c r="AB83" s="1" t="str">
        <f t="shared" si="23"/>
        <v>BeforeTime</v>
      </c>
      <c r="AC83" s="1">
        <f t="shared" si="24"/>
        <v>1323.09</v>
      </c>
      <c r="AD83" s="7">
        <f t="shared" si="25"/>
        <v>0</v>
      </c>
      <c r="AE83" s="1">
        <f t="shared" si="26"/>
        <v>0</v>
      </c>
      <c r="AF83" s="1">
        <f t="shared" si="27"/>
        <v>0</v>
      </c>
    </row>
    <row r="84" spans="1:32" ht="14.25" customHeight="1" x14ac:dyDescent="0.3">
      <c r="A84" s="1" t="s">
        <v>1203</v>
      </c>
      <c r="B84" s="1" t="s">
        <v>1204</v>
      </c>
      <c r="C84" s="1" t="s">
        <v>1205</v>
      </c>
      <c r="D84" s="1" t="str">
        <f t="shared" si="15"/>
        <v>Brendan Kelly</v>
      </c>
      <c r="E84" s="1">
        <v>50</v>
      </c>
      <c r="F84" s="1" t="s">
        <v>45</v>
      </c>
      <c r="G84" s="1" t="s">
        <v>161</v>
      </c>
      <c r="H84" s="1" t="s">
        <v>1206</v>
      </c>
      <c r="I84" s="1" t="s">
        <v>1207</v>
      </c>
      <c r="J84" s="1" t="s">
        <v>1360</v>
      </c>
      <c r="K84" s="2">
        <v>45522</v>
      </c>
      <c r="L84" s="2" t="str">
        <f t="shared" si="16"/>
        <v>August</v>
      </c>
      <c r="M84" s="1" t="s">
        <v>1361</v>
      </c>
      <c r="N84" s="1" t="s">
        <v>511</v>
      </c>
      <c r="O84" s="1">
        <v>441.03</v>
      </c>
      <c r="P84" s="1">
        <v>3</v>
      </c>
      <c r="Q84" s="1">
        <f t="shared" si="17"/>
        <v>1323.09</v>
      </c>
      <c r="R84" s="1" t="s">
        <v>78</v>
      </c>
      <c r="S84" s="1">
        <f t="shared" si="18"/>
        <v>264.61799999999999</v>
      </c>
      <c r="T84" s="1">
        <f t="shared" si="19"/>
        <v>1058.472</v>
      </c>
      <c r="U84" s="1">
        <v>4</v>
      </c>
      <c r="V84" s="1">
        <f t="shared" si="20"/>
        <v>1098.472</v>
      </c>
      <c r="W84" s="1">
        <v>40</v>
      </c>
      <c r="X84" s="2">
        <v>45528</v>
      </c>
      <c r="Y84" s="1" t="s">
        <v>1362</v>
      </c>
      <c r="Z84" s="1">
        <f t="shared" si="21"/>
        <v>1363.09</v>
      </c>
      <c r="AA84" s="1">
        <f t="shared" si="22"/>
        <v>6</v>
      </c>
      <c r="AB84" s="1" t="str">
        <f t="shared" si="23"/>
        <v>Late</v>
      </c>
      <c r="AC84" s="1">
        <f t="shared" si="24"/>
        <v>1323.09</v>
      </c>
      <c r="AD84" s="7">
        <f t="shared" si="25"/>
        <v>0.2</v>
      </c>
      <c r="AE84" s="1">
        <f t="shared" si="26"/>
        <v>264.61799999999999</v>
      </c>
      <c r="AF84" s="1">
        <f t="shared" si="27"/>
        <v>304.61799999999999</v>
      </c>
    </row>
    <row r="85" spans="1:32" ht="14.25" customHeight="1" x14ac:dyDescent="0.3">
      <c r="A85" s="1" t="s">
        <v>66</v>
      </c>
      <c r="B85" s="1" t="s">
        <v>67</v>
      </c>
      <c r="C85" s="1" t="s">
        <v>68</v>
      </c>
      <c r="D85" s="1" t="str">
        <f t="shared" si="15"/>
        <v>Christine West</v>
      </c>
      <c r="E85" s="1">
        <v>53</v>
      </c>
      <c r="F85" s="1" t="s">
        <v>45</v>
      </c>
      <c r="G85" s="1" t="s">
        <v>69</v>
      </c>
      <c r="H85" s="1" t="s">
        <v>70</v>
      </c>
      <c r="I85" s="1" t="s">
        <v>71</v>
      </c>
      <c r="J85" s="1" t="s">
        <v>72</v>
      </c>
      <c r="K85" s="2">
        <v>45543</v>
      </c>
      <c r="L85" s="2" t="str">
        <f t="shared" si="16"/>
        <v>September</v>
      </c>
      <c r="M85" s="1" t="s">
        <v>73</v>
      </c>
      <c r="N85" s="1" t="s">
        <v>74</v>
      </c>
      <c r="O85" s="1">
        <v>330.11</v>
      </c>
      <c r="P85" s="1">
        <v>4</v>
      </c>
      <c r="Q85" s="1">
        <f t="shared" si="17"/>
        <v>1320.44</v>
      </c>
      <c r="R85" s="1" t="s">
        <v>51</v>
      </c>
      <c r="S85" s="1">
        <f t="shared" si="18"/>
        <v>198.066</v>
      </c>
      <c r="T85" s="1">
        <f t="shared" si="19"/>
        <v>1122.374</v>
      </c>
      <c r="U85" s="1">
        <v>6</v>
      </c>
      <c r="V85" s="1">
        <f t="shared" si="20"/>
        <v>1161.374</v>
      </c>
      <c r="W85" s="1">
        <v>39</v>
      </c>
      <c r="X85" s="2">
        <v>45547</v>
      </c>
      <c r="Y85" s="1" t="s">
        <v>75</v>
      </c>
      <c r="Z85" s="1">
        <f t="shared" si="21"/>
        <v>1359.44</v>
      </c>
      <c r="AA85" s="1">
        <f t="shared" si="22"/>
        <v>4</v>
      </c>
      <c r="AB85" s="1" t="str">
        <f t="shared" si="23"/>
        <v>BeforeTime</v>
      </c>
      <c r="AC85" s="1">
        <f t="shared" si="24"/>
        <v>1320.44</v>
      </c>
      <c r="AD85" s="7">
        <f t="shared" si="25"/>
        <v>0.15</v>
      </c>
      <c r="AE85" s="1">
        <f t="shared" si="26"/>
        <v>198.066</v>
      </c>
      <c r="AF85" s="1">
        <f t="shared" si="27"/>
        <v>237.066</v>
      </c>
    </row>
    <row r="86" spans="1:32" ht="14.25" customHeight="1" x14ac:dyDescent="0.3">
      <c r="A86" s="1" t="s">
        <v>149</v>
      </c>
      <c r="B86" s="1" t="s">
        <v>150</v>
      </c>
      <c r="C86" s="1" t="s">
        <v>151</v>
      </c>
      <c r="D86" s="1" t="str">
        <f t="shared" si="15"/>
        <v>Joshua Campbell</v>
      </c>
      <c r="E86" s="1">
        <v>24</v>
      </c>
      <c r="F86" s="1" t="s">
        <v>22</v>
      </c>
      <c r="G86" s="1" t="s">
        <v>152</v>
      </c>
      <c r="H86" s="1" t="s">
        <v>153</v>
      </c>
      <c r="I86" s="1" t="s">
        <v>154</v>
      </c>
      <c r="J86" s="1" t="s">
        <v>155</v>
      </c>
      <c r="K86" s="2">
        <v>45079</v>
      </c>
      <c r="L86" s="2" t="str">
        <f t="shared" si="16"/>
        <v>June</v>
      </c>
      <c r="M86" s="1" t="s">
        <v>156</v>
      </c>
      <c r="N86" s="1" t="s">
        <v>74</v>
      </c>
      <c r="O86" s="1">
        <v>330.11</v>
      </c>
      <c r="P86" s="1">
        <v>4</v>
      </c>
      <c r="Q86" s="1">
        <f t="shared" si="17"/>
        <v>1320.44</v>
      </c>
      <c r="R86" s="1" t="s">
        <v>56</v>
      </c>
      <c r="S86" s="1">
        <f t="shared" si="18"/>
        <v>0</v>
      </c>
      <c r="T86" s="1">
        <f t="shared" si="19"/>
        <v>1320.44</v>
      </c>
      <c r="U86" s="1">
        <v>1</v>
      </c>
      <c r="V86" s="1">
        <f t="shared" si="20"/>
        <v>1378.44</v>
      </c>
      <c r="W86" s="1">
        <v>58</v>
      </c>
      <c r="X86" s="2">
        <v>45080</v>
      </c>
      <c r="Y86" s="1" t="s">
        <v>157</v>
      </c>
      <c r="Z86" s="1">
        <f t="shared" si="21"/>
        <v>1378.44</v>
      </c>
      <c r="AA86" s="1">
        <f t="shared" si="22"/>
        <v>1</v>
      </c>
      <c r="AB86" s="1" t="str">
        <f t="shared" si="23"/>
        <v>Intime</v>
      </c>
      <c r="AC86" s="1">
        <f t="shared" si="24"/>
        <v>1320.44</v>
      </c>
      <c r="AD86" s="7">
        <f t="shared" si="25"/>
        <v>0</v>
      </c>
      <c r="AE86" s="1">
        <f t="shared" si="26"/>
        <v>0</v>
      </c>
      <c r="AF86" s="1">
        <f t="shared" si="27"/>
        <v>0</v>
      </c>
    </row>
    <row r="87" spans="1:32" ht="14.25" customHeight="1" x14ac:dyDescent="0.3">
      <c r="A87" s="1" t="s">
        <v>66</v>
      </c>
      <c r="B87" s="1" t="s">
        <v>67</v>
      </c>
      <c r="C87" s="1" t="s">
        <v>68</v>
      </c>
      <c r="D87" s="1" t="str">
        <f t="shared" si="15"/>
        <v>Christine West</v>
      </c>
      <c r="E87" s="1">
        <v>53</v>
      </c>
      <c r="F87" s="1" t="s">
        <v>45</v>
      </c>
      <c r="G87" s="1" t="s">
        <v>69</v>
      </c>
      <c r="H87" s="1" t="s">
        <v>70</v>
      </c>
      <c r="I87" s="1" t="s">
        <v>71</v>
      </c>
      <c r="J87" s="1" t="s">
        <v>1011</v>
      </c>
      <c r="K87" s="2">
        <v>45561</v>
      </c>
      <c r="L87" s="2" t="str">
        <f t="shared" si="16"/>
        <v>September</v>
      </c>
      <c r="M87" s="1" t="s">
        <v>1012</v>
      </c>
      <c r="N87" s="1" t="s">
        <v>74</v>
      </c>
      <c r="O87" s="1">
        <v>330.11</v>
      </c>
      <c r="P87" s="1">
        <v>4</v>
      </c>
      <c r="Q87" s="1">
        <f t="shared" si="17"/>
        <v>1320.44</v>
      </c>
      <c r="R87" s="1" t="s">
        <v>78</v>
      </c>
      <c r="S87" s="1">
        <f t="shared" si="18"/>
        <v>264.08800000000002</v>
      </c>
      <c r="T87" s="1">
        <f t="shared" si="19"/>
        <v>1056.3520000000001</v>
      </c>
      <c r="U87" s="1">
        <v>4</v>
      </c>
      <c r="V87" s="1">
        <f t="shared" si="20"/>
        <v>1103.3520000000001</v>
      </c>
      <c r="W87" s="1">
        <v>47</v>
      </c>
      <c r="X87" s="2">
        <v>45566</v>
      </c>
      <c r="Y87" s="1" t="s">
        <v>1013</v>
      </c>
      <c r="Z87" s="1">
        <f t="shared" si="21"/>
        <v>1367.44</v>
      </c>
      <c r="AA87" s="1">
        <f t="shared" si="22"/>
        <v>5</v>
      </c>
      <c r="AB87" s="1" t="str">
        <f t="shared" si="23"/>
        <v>Late</v>
      </c>
      <c r="AC87" s="1">
        <f t="shared" si="24"/>
        <v>1320.44</v>
      </c>
      <c r="AD87" s="7">
        <f t="shared" si="25"/>
        <v>0.2</v>
      </c>
      <c r="AE87" s="1">
        <f t="shared" si="26"/>
        <v>264.08800000000002</v>
      </c>
      <c r="AF87" s="1">
        <f t="shared" si="27"/>
        <v>311.08800000000002</v>
      </c>
    </row>
    <row r="88" spans="1:32" ht="14.25" customHeight="1" x14ac:dyDescent="0.3">
      <c r="A88" s="1" t="s">
        <v>528</v>
      </c>
      <c r="B88" s="1" t="s">
        <v>529</v>
      </c>
      <c r="C88" s="1" t="s">
        <v>530</v>
      </c>
      <c r="D88" s="1" t="str">
        <f t="shared" si="15"/>
        <v>Brandon Cruz</v>
      </c>
      <c r="E88" s="1">
        <v>32</v>
      </c>
      <c r="F88" s="1" t="s">
        <v>45</v>
      </c>
      <c r="G88" s="1" t="s">
        <v>83</v>
      </c>
      <c r="H88" s="1" t="s">
        <v>531</v>
      </c>
      <c r="I88" s="1" t="s">
        <v>532</v>
      </c>
      <c r="J88" s="1" t="s">
        <v>1045</v>
      </c>
      <c r="K88" s="2">
        <v>45689</v>
      </c>
      <c r="L88" s="2" t="str">
        <f t="shared" si="16"/>
        <v>February</v>
      </c>
      <c r="M88" s="1" t="s">
        <v>1046</v>
      </c>
      <c r="N88" s="1" t="s">
        <v>74</v>
      </c>
      <c r="O88" s="1">
        <v>330.11</v>
      </c>
      <c r="P88" s="1">
        <v>4</v>
      </c>
      <c r="Q88" s="1">
        <f t="shared" si="17"/>
        <v>1320.44</v>
      </c>
      <c r="R88" s="1" t="s">
        <v>78</v>
      </c>
      <c r="S88" s="1">
        <f t="shared" si="18"/>
        <v>264.08800000000002</v>
      </c>
      <c r="T88" s="1">
        <f t="shared" si="19"/>
        <v>1056.3520000000001</v>
      </c>
      <c r="U88" s="1">
        <v>2</v>
      </c>
      <c r="V88" s="1">
        <f t="shared" si="20"/>
        <v>1125.3520000000001</v>
      </c>
      <c r="W88" s="1">
        <v>69</v>
      </c>
      <c r="X88" s="2">
        <v>45695</v>
      </c>
      <c r="Y88" s="1" t="s">
        <v>1047</v>
      </c>
      <c r="Z88" s="1">
        <f t="shared" si="21"/>
        <v>1389.44</v>
      </c>
      <c r="AA88" s="1">
        <f t="shared" si="22"/>
        <v>6</v>
      </c>
      <c r="AB88" s="1" t="str">
        <f t="shared" si="23"/>
        <v>Late</v>
      </c>
      <c r="AC88" s="1">
        <f t="shared" si="24"/>
        <v>1320.44</v>
      </c>
      <c r="AD88" s="7">
        <f t="shared" si="25"/>
        <v>0.2</v>
      </c>
      <c r="AE88" s="1">
        <f t="shared" si="26"/>
        <v>264.08800000000002</v>
      </c>
      <c r="AF88" s="1">
        <f t="shared" si="27"/>
        <v>333.08800000000002</v>
      </c>
    </row>
    <row r="89" spans="1:32" ht="14.25" customHeight="1" x14ac:dyDescent="0.3">
      <c r="A89" s="1" t="s">
        <v>664</v>
      </c>
      <c r="B89" s="1" t="s">
        <v>665</v>
      </c>
      <c r="C89" s="1" t="s">
        <v>666</v>
      </c>
      <c r="D89" s="1" t="str">
        <f t="shared" si="15"/>
        <v>Christy Chang</v>
      </c>
      <c r="E89" s="1">
        <v>38</v>
      </c>
      <c r="F89" s="1" t="s">
        <v>34</v>
      </c>
      <c r="G89" s="1" t="s">
        <v>213</v>
      </c>
      <c r="H89" s="1" t="s">
        <v>667</v>
      </c>
      <c r="I89" s="1" t="s">
        <v>668</v>
      </c>
      <c r="J89" s="1" t="s">
        <v>1571</v>
      </c>
      <c r="K89" s="2">
        <v>45496</v>
      </c>
      <c r="L89" s="2" t="str">
        <f t="shared" si="16"/>
        <v>July</v>
      </c>
      <c r="M89" s="1" t="s">
        <v>1572</v>
      </c>
      <c r="N89" s="1" t="s">
        <v>646</v>
      </c>
      <c r="O89" s="1">
        <v>433.62</v>
      </c>
      <c r="P89" s="1">
        <v>3</v>
      </c>
      <c r="Q89" s="1">
        <f t="shared" si="17"/>
        <v>1300.8600000000001</v>
      </c>
      <c r="R89" s="1" t="s">
        <v>89</v>
      </c>
      <c r="S89" s="1">
        <f t="shared" si="18"/>
        <v>130.08600000000001</v>
      </c>
      <c r="T89" s="1">
        <f t="shared" si="19"/>
        <v>1170.7740000000001</v>
      </c>
      <c r="U89" s="1">
        <v>2</v>
      </c>
      <c r="V89" s="1">
        <f t="shared" si="20"/>
        <v>1209.7740000000001</v>
      </c>
      <c r="W89" s="1">
        <v>39</v>
      </c>
      <c r="X89" s="2">
        <v>45499</v>
      </c>
      <c r="Y89" s="1" t="s">
        <v>1573</v>
      </c>
      <c r="Z89" s="1">
        <f t="shared" si="21"/>
        <v>1339.8600000000001</v>
      </c>
      <c r="AA89" s="1">
        <f t="shared" si="22"/>
        <v>3</v>
      </c>
      <c r="AB89" s="1" t="str">
        <f t="shared" si="23"/>
        <v>Late</v>
      </c>
      <c r="AC89" s="1">
        <f t="shared" si="24"/>
        <v>1300.8600000000001</v>
      </c>
      <c r="AD89" s="7">
        <f t="shared" si="25"/>
        <v>0.1</v>
      </c>
      <c r="AE89" s="1">
        <f t="shared" si="26"/>
        <v>130.08600000000001</v>
      </c>
      <c r="AF89" s="1">
        <f t="shared" si="27"/>
        <v>169.08600000000001</v>
      </c>
    </row>
    <row r="90" spans="1:32" ht="14.25" customHeight="1" x14ac:dyDescent="0.3">
      <c r="A90" s="1" t="s">
        <v>1035</v>
      </c>
      <c r="B90" s="1" t="s">
        <v>67</v>
      </c>
      <c r="C90" s="1" t="s">
        <v>1036</v>
      </c>
      <c r="D90" s="1" t="str">
        <f t="shared" si="15"/>
        <v>Christine Aguilar</v>
      </c>
      <c r="E90" s="1">
        <v>46</v>
      </c>
      <c r="F90" s="1" t="s">
        <v>22</v>
      </c>
      <c r="G90" s="1" t="s">
        <v>23</v>
      </c>
      <c r="H90" s="1" t="s">
        <v>1037</v>
      </c>
      <c r="I90" s="1" t="s">
        <v>1038</v>
      </c>
      <c r="J90" s="1" t="s">
        <v>1916</v>
      </c>
      <c r="K90" s="2">
        <v>44980</v>
      </c>
      <c r="L90" s="2" t="str">
        <f t="shared" si="16"/>
        <v>February</v>
      </c>
      <c r="M90" s="1" t="s">
        <v>1917</v>
      </c>
      <c r="N90" s="1" t="s">
        <v>376</v>
      </c>
      <c r="O90" s="1">
        <v>431.44</v>
      </c>
      <c r="P90" s="1">
        <v>3</v>
      </c>
      <c r="Q90" s="1">
        <f t="shared" si="17"/>
        <v>1294.32</v>
      </c>
      <c r="R90" s="1" t="s">
        <v>29</v>
      </c>
      <c r="S90" s="1">
        <f t="shared" si="18"/>
        <v>103.54559999999999</v>
      </c>
      <c r="T90" s="1">
        <f t="shared" si="19"/>
        <v>1190.7744</v>
      </c>
      <c r="U90" s="1">
        <v>6</v>
      </c>
      <c r="V90" s="1">
        <f t="shared" si="20"/>
        <v>1260.7744</v>
      </c>
      <c r="W90" s="1">
        <v>70</v>
      </c>
      <c r="X90" s="2">
        <v>44983</v>
      </c>
      <c r="Y90" s="1" t="s">
        <v>1918</v>
      </c>
      <c r="Z90" s="1">
        <f t="shared" si="21"/>
        <v>1364.32</v>
      </c>
      <c r="AA90" s="1">
        <f t="shared" si="22"/>
        <v>3</v>
      </c>
      <c r="AB90" s="1" t="str">
        <f t="shared" si="23"/>
        <v>BeforeTime</v>
      </c>
      <c r="AC90" s="1">
        <f t="shared" si="24"/>
        <v>1294.32</v>
      </c>
      <c r="AD90" s="7">
        <f t="shared" si="25"/>
        <v>0.08</v>
      </c>
      <c r="AE90" s="1">
        <f t="shared" si="26"/>
        <v>103.54559999999999</v>
      </c>
      <c r="AF90" s="1">
        <f t="shared" si="27"/>
        <v>173.54559999999998</v>
      </c>
    </row>
    <row r="91" spans="1:32" ht="14.25" customHeight="1" x14ac:dyDescent="0.3">
      <c r="A91" s="1" t="s">
        <v>1311</v>
      </c>
      <c r="B91" s="1" t="s">
        <v>1312</v>
      </c>
      <c r="C91" s="1" t="s">
        <v>1313</v>
      </c>
      <c r="D91" s="1" t="str">
        <f t="shared" si="15"/>
        <v>Jared Horn</v>
      </c>
      <c r="E91" s="1">
        <v>43</v>
      </c>
      <c r="F91" s="1" t="s">
        <v>22</v>
      </c>
      <c r="G91" s="1" t="s">
        <v>133</v>
      </c>
      <c r="H91" s="1" t="s">
        <v>1314</v>
      </c>
      <c r="I91" s="1" t="s">
        <v>1315</v>
      </c>
      <c r="J91" s="1" t="s">
        <v>1936</v>
      </c>
      <c r="K91" s="2">
        <v>45087</v>
      </c>
      <c r="L91" s="2" t="str">
        <f t="shared" si="16"/>
        <v>June</v>
      </c>
      <c r="M91" s="1" t="s">
        <v>1937</v>
      </c>
      <c r="N91" s="1" t="s">
        <v>376</v>
      </c>
      <c r="O91" s="1">
        <v>431.44</v>
      </c>
      <c r="P91" s="1">
        <v>3</v>
      </c>
      <c r="Q91" s="1">
        <f t="shared" si="17"/>
        <v>1294.32</v>
      </c>
      <c r="R91" s="1" t="s">
        <v>51</v>
      </c>
      <c r="S91" s="1">
        <f t="shared" si="18"/>
        <v>194.148</v>
      </c>
      <c r="T91" s="1">
        <f t="shared" si="19"/>
        <v>1100.172</v>
      </c>
      <c r="U91" s="1">
        <v>4</v>
      </c>
      <c r="V91" s="1">
        <f t="shared" si="20"/>
        <v>1158.172</v>
      </c>
      <c r="W91" s="1">
        <v>58</v>
      </c>
      <c r="X91" s="2">
        <v>45092</v>
      </c>
      <c r="Y91" s="1" t="s">
        <v>1938</v>
      </c>
      <c r="Z91" s="1">
        <f t="shared" si="21"/>
        <v>1352.32</v>
      </c>
      <c r="AA91" s="1">
        <f t="shared" si="22"/>
        <v>5</v>
      </c>
      <c r="AB91" s="1" t="str">
        <f t="shared" si="23"/>
        <v>Late</v>
      </c>
      <c r="AC91" s="1">
        <f t="shared" si="24"/>
        <v>1294.32</v>
      </c>
      <c r="AD91" s="7">
        <f t="shared" si="25"/>
        <v>0.15</v>
      </c>
      <c r="AE91" s="1">
        <f t="shared" si="26"/>
        <v>194.148</v>
      </c>
      <c r="AF91" s="1">
        <f t="shared" si="27"/>
        <v>252.148</v>
      </c>
    </row>
    <row r="92" spans="1:32" ht="14.25" customHeight="1" x14ac:dyDescent="0.3">
      <c r="A92" s="1" t="s">
        <v>413</v>
      </c>
      <c r="B92" s="1" t="s">
        <v>414</v>
      </c>
      <c r="C92" s="1" t="s">
        <v>415</v>
      </c>
      <c r="D92" s="1" t="str">
        <f t="shared" si="15"/>
        <v>Amanda Howard</v>
      </c>
      <c r="E92" s="1">
        <v>52</v>
      </c>
      <c r="F92" s="1" t="s">
        <v>45</v>
      </c>
      <c r="G92" s="1" t="s">
        <v>213</v>
      </c>
      <c r="H92" s="1" t="s">
        <v>416</v>
      </c>
      <c r="I92" s="1" t="s">
        <v>417</v>
      </c>
      <c r="J92" s="1" t="s">
        <v>1088</v>
      </c>
      <c r="K92" s="2">
        <v>45001</v>
      </c>
      <c r="L92" s="2" t="str">
        <f t="shared" si="16"/>
        <v>March</v>
      </c>
      <c r="M92" s="1" t="s">
        <v>1089</v>
      </c>
      <c r="N92" s="1" t="s">
        <v>546</v>
      </c>
      <c r="O92" s="1">
        <v>425.59</v>
      </c>
      <c r="P92" s="1">
        <v>3</v>
      </c>
      <c r="Q92" s="1">
        <f t="shared" si="17"/>
        <v>1276.77</v>
      </c>
      <c r="R92" s="1" t="s">
        <v>29</v>
      </c>
      <c r="S92" s="1">
        <f t="shared" si="18"/>
        <v>102.1416</v>
      </c>
      <c r="T92" s="1">
        <f t="shared" si="19"/>
        <v>1174.6284000000001</v>
      </c>
      <c r="U92" s="1">
        <v>7</v>
      </c>
      <c r="V92" s="1">
        <f t="shared" si="20"/>
        <v>1242.6284000000001</v>
      </c>
      <c r="W92" s="1">
        <v>68</v>
      </c>
      <c r="X92" s="2">
        <v>45005</v>
      </c>
      <c r="Y92" s="1" t="s">
        <v>802</v>
      </c>
      <c r="Z92" s="1">
        <f t="shared" si="21"/>
        <v>1344.77</v>
      </c>
      <c r="AA92" s="1">
        <f t="shared" si="22"/>
        <v>4</v>
      </c>
      <c r="AB92" s="1" t="str">
        <f t="shared" si="23"/>
        <v>BeforeTime</v>
      </c>
      <c r="AC92" s="1">
        <f t="shared" si="24"/>
        <v>1276.77</v>
      </c>
      <c r="AD92" s="7">
        <f t="shared" si="25"/>
        <v>0.08</v>
      </c>
      <c r="AE92" s="1">
        <f t="shared" si="26"/>
        <v>102.1416</v>
      </c>
      <c r="AF92" s="1">
        <f t="shared" si="27"/>
        <v>170.14159999999998</v>
      </c>
    </row>
    <row r="93" spans="1:32" ht="14.25" customHeight="1" x14ac:dyDescent="0.3">
      <c r="A93" s="1" t="s">
        <v>979</v>
      </c>
      <c r="B93" s="1" t="s">
        <v>980</v>
      </c>
      <c r="C93" s="1" t="s">
        <v>981</v>
      </c>
      <c r="D93" s="1" t="str">
        <f t="shared" si="15"/>
        <v>Natasha Michael</v>
      </c>
      <c r="E93" s="1">
        <v>49</v>
      </c>
      <c r="F93" s="1" t="s">
        <v>22</v>
      </c>
      <c r="G93" s="1" t="s">
        <v>35</v>
      </c>
      <c r="H93" s="1" t="s">
        <v>982</v>
      </c>
      <c r="I93" s="1" t="s">
        <v>983</v>
      </c>
      <c r="J93" s="1" t="s">
        <v>1372</v>
      </c>
      <c r="K93" s="2">
        <v>45092</v>
      </c>
      <c r="L93" s="2" t="str">
        <f t="shared" si="16"/>
        <v>June</v>
      </c>
      <c r="M93" s="1" t="s">
        <v>1373</v>
      </c>
      <c r="N93" s="1" t="s">
        <v>546</v>
      </c>
      <c r="O93" s="1">
        <v>425.59</v>
      </c>
      <c r="P93" s="1">
        <v>3</v>
      </c>
      <c r="Q93" s="1">
        <f t="shared" si="17"/>
        <v>1276.77</v>
      </c>
      <c r="R93" s="1" t="s">
        <v>29</v>
      </c>
      <c r="S93" s="1">
        <f t="shared" si="18"/>
        <v>102.1416</v>
      </c>
      <c r="T93" s="1">
        <f t="shared" si="19"/>
        <v>1174.6284000000001</v>
      </c>
      <c r="U93" s="1">
        <v>6</v>
      </c>
      <c r="V93" s="1">
        <f t="shared" si="20"/>
        <v>1229.6284000000001</v>
      </c>
      <c r="W93" s="1">
        <v>55</v>
      </c>
      <c r="X93" s="2">
        <v>45099</v>
      </c>
      <c r="Y93" s="1" t="s">
        <v>1374</v>
      </c>
      <c r="Z93" s="1">
        <f t="shared" si="21"/>
        <v>1331.77</v>
      </c>
      <c r="AA93" s="1">
        <f t="shared" si="22"/>
        <v>7</v>
      </c>
      <c r="AB93" s="1" t="str">
        <f t="shared" si="23"/>
        <v>Late</v>
      </c>
      <c r="AC93" s="1">
        <f t="shared" si="24"/>
        <v>1276.77</v>
      </c>
      <c r="AD93" s="7">
        <f t="shared" si="25"/>
        <v>0.08</v>
      </c>
      <c r="AE93" s="1">
        <f t="shared" si="26"/>
        <v>102.1416</v>
      </c>
      <c r="AF93" s="1">
        <f t="shared" si="27"/>
        <v>157.14159999999998</v>
      </c>
    </row>
    <row r="94" spans="1:32" ht="14.25" customHeight="1" x14ac:dyDescent="0.3">
      <c r="A94" s="1" t="s">
        <v>1730</v>
      </c>
      <c r="B94" s="1" t="s">
        <v>1731</v>
      </c>
      <c r="C94" s="1" t="s">
        <v>1732</v>
      </c>
      <c r="D94" s="1" t="str">
        <f t="shared" si="15"/>
        <v>Regina Hawkins</v>
      </c>
      <c r="E94" s="1">
        <v>47</v>
      </c>
      <c r="F94" s="1" t="s">
        <v>34</v>
      </c>
      <c r="G94" s="1" t="s">
        <v>23</v>
      </c>
      <c r="H94" s="1" t="s">
        <v>1733</v>
      </c>
      <c r="I94" s="1" t="s">
        <v>1734</v>
      </c>
      <c r="J94" s="1" t="s">
        <v>1735</v>
      </c>
      <c r="K94" s="2">
        <v>45327</v>
      </c>
      <c r="L94" s="2" t="str">
        <f t="shared" si="16"/>
        <v>February</v>
      </c>
      <c r="M94" s="1" t="s">
        <v>1736</v>
      </c>
      <c r="N94" s="1" t="s">
        <v>546</v>
      </c>
      <c r="O94" s="1">
        <v>425.59</v>
      </c>
      <c r="P94" s="1">
        <v>3</v>
      </c>
      <c r="Q94" s="1">
        <f t="shared" si="17"/>
        <v>1276.77</v>
      </c>
      <c r="R94" s="1" t="s">
        <v>89</v>
      </c>
      <c r="S94" s="1">
        <f t="shared" si="18"/>
        <v>127.67700000000001</v>
      </c>
      <c r="T94" s="1">
        <f t="shared" si="19"/>
        <v>1149.0930000000001</v>
      </c>
      <c r="U94" s="1">
        <v>7</v>
      </c>
      <c r="V94" s="1">
        <f t="shared" si="20"/>
        <v>1200.0930000000001</v>
      </c>
      <c r="W94" s="1">
        <v>51</v>
      </c>
      <c r="X94" s="2">
        <v>45330</v>
      </c>
      <c r="Y94" s="1" t="s">
        <v>1737</v>
      </c>
      <c r="Z94" s="1">
        <f t="shared" si="21"/>
        <v>1327.77</v>
      </c>
      <c r="AA94" s="1">
        <f t="shared" si="22"/>
        <v>3</v>
      </c>
      <c r="AB94" s="1" t="str">
        <f t="shared" si="23"/>
        <v>BeforeTime</v>
      </c>
      <c r="AC94" s="1">
        <f t="shared" si="24"/>
        <v>1276.77</v>
      </c>
      <c r="AD94" s="7">
        <f t="shared" si="25"/>
        <v>0.1</v>
      </c>
      <c r="AE94" s="1">
        <f t="shared" si="26"/>
        <v>127.67700000000001</v>
      </c>
      <c r="AF94" s="1">
        <f t="shared" si="27"/>
        <v>178.67700000000002</v>
      </c>
    </row>
    <row r="95" spans="1:32" ht="14.25" customHeight="1" x14ac:dyDescent="0.3">
      <c r="A95" s="1" t="s">
        <v>405</v>
      </c>
      <c r="B95" s="1" t="s">
        <v>221</v>
      </c>
      <c r="C95" s="1" t="s">
        <v>406</v>
      </c>
      <c r="D95" s="1" t="str">
        <f t="shared" si="15"/>
        <v>John Ramirez</v>
      </c>
      <c r="E95" s="1">
        <v>28</v>
      </c>
      <c r="F95" s="1" t="s">
        <v>45</v>
      </c>
      <c r="G95" s="1" t="s">
        <v>133</v>
      </c>
      <c r="H95" s="1" t="s">
        <v>407</v>
      </c>
      <c r="I95" s="1" t="s">
        <v>408</v>
      </c>
      <c r="J95" s="1" t="s">
        <v>789</v>
      </c>
      <c r="K95" s="2">
        <v>45213</v>
      </c>
      <c r="L95" s="2" t="str">
        <f t="shared" si="16"/>
        <v>October</v>
      </c>
      <c r="M95" s="1" t="s">
        <v>790</v>
      </c>
      <c r="N95" s="1" t="s">
        <v>679</v>
      </c>
      <c r="O95" s="1">
        <v>424.82</v>
      </c>
      <c r="P95" s="1">
        <v>3</v>
      </c>
      <c r="Q95" s="1">
        <f t="shared" si="17"/>
        <v>1274.46</v>
      </c>
      <c r="R95" s="1" t="s">
        <v>29</v>
      </c>
      <c r="S95" s="1">
        <f t="shared" si="18"/>
        <v>101.9568</v>
      </c>
      <c r="T95" s="1">
        <f t="shared" si="19"/>
        <v>1172.5032000000001</v>
      </c>
      <c r="U95" s="1">
        <v>2</v>
      </c>
      <c r="V95" s="1">
        <f t="shared" si="20"/>
        <v>1239.5032000000001</v>
      </c>
      <c r="W95" s="1">
        <v>67</v>
      </c>
      <c r="X95" s="2">
        <v>45215</v>
      </c>
      <c r="Y95" s="1" t="s">
        <v>791</v>
      </c>
      <c r="Z95" s="1">
        <f t="shared" si="21"/>
        <v>1341.46</v>
      </c>
      <c r="AA95" s="1">
        <f t="shared" si="22"/>
        <v>2</v>
      </c>
      <c r="AB95" s="1" t="str">
        <f t="shared" si="23"/>
        <v>Intime</v>
      </c>
      <c r="AC95" s="1">
        <f t="shared" si="24"/>
        <v>1274.46</v>
      </c>
      <c r="AD95" s="7">
        <f t="shared" si="25"/>
        <v>0.08</v>
      </c>
      <c r="AE95" s="1">
        <f t="shared" si="26"/>
        <v>101.9568</v>
      </c>
      <c r="AF95" s="1">
        <f t="shared" si="27"/>
        <v>168.95679999999999</v>
      </c>
    </row>
    <row r="96" spans="1:32" ht="14.25" customHeight="1" x14ac:dyDescent="0.3">
      <c r="A96" s="1" t="s">
        <v>1203</v>
      </c>
      <c r="B96" s="1" t="s">
        <v>1204</v>
      </c>
      <c r="C96" s="1" t="s">
        <v>1205</v>
      </c>
      <c r="D96" s="1" t="str">
        <f t="shared" si="15"/>
        <v>Brendan Kelly</v>
      </c>
      <c r="E96" s="1">
        <v>50</v>
      </c>
      <c r="F96" s="1" t="s">
        <v>45</v>
      </c>
      <c r="G96" s="1" t="s">
        <v>161</v>
      </c>
      <c r="H96" s="1" t="s">
        <v>1206</v>
      </c>
      <c r="I96" s="1" t="s">
        <v>1207</v>
      </c>
      <c r="J96" s="1" t="s">
        <v>1322</v>
      </c>
      <c r="K96" s="2">
        <v>45481</v>
      </c>
      <c r="L96" s="2" t="str">
        <f t="shared" si="16"/>
        <v>July</v>
      </c>
      <c r="M96" s="1" t="s">
        <v>1323</v>
      </c>
      <c r="N96" s="1" t="s">
        <v>679</v>
      </c>
      <c r="O96" s="1">
        <v>424.82</v>
      </c>
      <c r="P96" s="1">
        <v>3</v>
      </c>
      <c r="Q96" s="1">
        <f t="shared" si="17"/>
        <v>1274.46</v>
      </c>
      <c r="R96" s="1" t="s">
        <v>56</v>
      </c>
      <c r="S96" s="1">
        <f t="shared" si="18"/>
        <v>0</v>
      </c>
      <c r="T96" s="1">
        <f t="shared" si="19"/>
        <v>1274.46</v>
      </c>
      <c r="U96" s="1">
        <v>3</v>
      </c>
      <c r="V96" s="1">
        <f t="shared" si="20"/>
        <v>1316.46</v>
      </c>
      <c r="W96" s="1">
        <v>42</v>
      </c>
      <c r="X96" s="2">
        <v>45482</v>
      </c>
      <c r="Y96" s="1" t="s">
        <v>1324</v>
      </c>
      <c r="Z96" s="1">
        <f t="shared" si="21"/>
        <v>1316.46</v>
      </c>
      <c r="AA96" s="1">
        <f t="shared" si="22"/>
        <v>1</v>
      </c>
      <c r="AB96" s="1" t="str">
        <f t="shared" si="23"/>
        <v>BeforeTime</v>
      </c>
      <c r="AC96" s="1">
        <f t="shared" si="24"/>
        <v>1274.46</v>
      </c>
      <c r="AD96" s="7">
        <f t="shared" si="25"/>
        <v>0</v>
      </c>
      <c r="AE96" s="1">
        <f t="shared" si="26"/>
        <v>0</v>
      </c>
      <c r="AF96" s="1">
        <f t="shared" si="27"/>
        <v>0</v>
      </c>
    </row>
    <row r="97" spans="1:32" ht="14.25" customHeight="1" x14ac:dyDescent="0.3">
      <c r="A97" s="1" t="s">
        <v>639</v>
      </c>
      <c r="B97" s="1" t="s">
        <v>640</v>
      </c>
      <c r="C97" s="1" t="s">
        <v>641</v>
      </c>
      <c r="D97" s="1" t="str">
        <f t="shared" si="15"/>
        <v>Beth Mason</v>
      </c>
      <c r="E97" s="1">
        <v>45</v>
      </c>
      <c r="F97" s="1" t="s">
        <v>45</v>
      </c>
      <c r="G97" s="1" t="s">
        <v>83</v>
      </c>
      <c r="H97" s="1" t="s">
        <v>642</v>
      </c>
      <c r="I97" s="1" t="s">
        <v>643</v>
      </c>
      <c r="J97" s="1" t="s">
        <v>1131</v>
      </c>
      <c r="K97" s="2">
        <v>45677</v>
      </c>
      <c r="L97" s="2" t="str">
        <f t="shared" si="16"/>
        <v>January</v>
      </c>
      <c r="M97" s="1" t="s">
        <v>1132</v>
      </c>
      <c r="N97" s="1" t="s">
        <v>488</v>
      </c>
      <c r="O97" s="1">
        <v>421.7</v>
      </c>
      <c r="P97" s="1">
        <v>3</v>
      </c>
      <c r="Q97" s="1">
        <f t="shared" si="17"/>
        <v>1265.0999999999999</v>
      </c>
      <c r="R97" s="1" t="s">
        <v>89</v>
      </c>
      <c r="S97" s="1">
        <f t="shared" si="18"/>
        <v>126.50999999999999</v>
      </c>
      <c r="T97" s="1">
        <f t="shared" si="19"/>
        <v>1138.5899999999999</v>
      </c>
      <c r="U97" s="1">
        <v>6</v>
      </c>
      <c r="V97" s="1">
        <f t="shared" si="20"/>
        <v>1176.5899999999999</v>
      </c>
      <c r="W97" s="1">
        <v>38</v>
      </c>
      <c r="X97" s="2">
        <v>45680</v>
      </c>
      <c r="Y97" s="1" t="s">
        <v>1133</v>
      </c>
      <c r="Z97" s="1">
        <f t="shared" si="21"/>
        <v>1303.0999999999999</v>
      </c>
      <c r="AA97" s="1">
        <f t="shared" si="22"/>
        <v>3</v>
      </c>
      <c r="AB97" s="1" t="str">
        <f t="shared" si="23"/>
        <v>BeforeTime</v>
      </c>
      <c r="AC97" s="1">
        <f t="shared" si="24"/>
        <v>1265.0999999999999</v>
      </c>
      <c r="AD97" s="7">
        <f t="shared" si="25"/>
        <v>0.1</v>
      </c>
      <c r="AE97" s="1">
        <f t="shared" si="26"/>
        <v>126.50999999999999</v>
      </c>
      <c r="AF97" s="1">
        <f t="shared" si="27"/>
        <v>164.51</v>
      </c>
    </row>
    <row r="98" spans="1:32" ht="14.25" customHeight="1" x14ac:dyDescent="0.3">
      <c r="A98" s="1" t="s">
        <v>1072</v>
      </c>
      <c r="B98" s="1" t="s">
        <v>211</v>
      </c>
      <c r="C98" s="1" t="s">
        <v>1073</v>
      </c>
      <c r="D98" s="1" t="str">
        <f t="shared" si="15"/>
        <v>Mark Summers</v>
      </c>
      <c r="E98" s="1">
        <v>55</v>
      </c>
      <c r="F98" s="1" t="s">
        <v>34</v>
      </c>
      <c r="G98" s="1" t="s">
        <v>152</v>
      </c>
      <c r="H98" s="1" t="s">
        <v>1074</v>
      </c>
      <c r="I98" s="1" t="s">
        <v>1075</v>
      </c>
      <c r="J98" s="1" t="s">
        <v>1399</v>
      </c>
      <c r="K98" s="2">
        <v>45567</v>
      </c>
      <c r="L98" s="2" t="str">
        <f t="shared" si="16"/>
        <v>October</v>
      </c>
      <c r="M98" s="1" t="s">
        <v>1400</v>
      </c>
      <c r="N98" s="1" t="s">
        <v>488</v>
      </c>
      <c r="O98" s="1">
        <v>421.7</v>
      </c>
      <c r="P98" s="1">
        <v>3</v>
      </c>
      <c r="Q98" s="1">
        <f t="shared" si="17"/>
        <v>1265.0999999999999</v>
      </c>
      <c r="R98" s="1" t="s">
        <v>29</v>
      </c>
      <c r="S98" s="1">
        <f t="shared" si="18"/>
        <v>101.208</v>
      </c>
      <c r="T98" s="1">
        <f t="shared" si="19"/>
        <v>1163.8919999999998</v>
      </c>
      <c r="U98" s="1">
        <v>5</v>
      </c>
      <c r="V98" s="1">
        <f t="shared" si="20"/>
        <v>1217.8919999999998</v>
      </c>
      <c r="W98" s="1">
        <v>54</v>
      </c>
      <c r="X98" s="2">
        <v>45571</v>
      </c>
      <c r="Y98" s="1" t="s">
        <v>1401</v>
      </c>
      <c r="Z98" s="1">
        <f t="shared" si="21"/>
        <v>1319.1</v>
      </c>
      <c r="AA98" s="1">
        <f t="shared" si="22"/>
        <v>4</v>
      </c>
      <c r="AB98" s="1" t="str">
        <f t="shared" si="23"/>
        <v>BeforeTime</v>
      </c>
      <c r="AC98" s="1">
        <f t="shared" si="24"/>
        <v>1265.0999999999999</v>
      </c>
      <c r="AD98" s="7">
        <f t="shared" si="25"/>
        <v>0.08</v>
      </c>
      <c r="AE98" s="1">
        <f t="shared" si="26"/>
        <v>101.208</v>
      </c>
      <c r="AF98" s="1">
        <f t="shared" si="27"/>
        <v>155.208</v>
      </c>
    </row>
    <row r="99" spans="1:32" ht="14.25" customHeight="1" x14ac:dyDescent="0.3">
      <c r="A99" s="1" t="s">
        <v>394</v>
      </c>
      <c r="B99" s="1" t="s">
        <v>395</v>
      </c>
      <c r="C99" s="1" t="s">
        <v>396</v>
      </c>
      <c r="D99" s="1" t="str">
        <f t="shared" si="15"/>
        <v>Alexandra Smith</v>
      </c>
      <c r="E99" s="1">
        <v>70</v>
      </c>
      <c r="F99" s="1" t="s">
        <v>22</v>
      </c>
      <c r="G99" s="1" t="s">
        <v>23</v>
      </c>
      <c r="H99" s="1" t="s">
        <v>397</v>
      </c>
      <c r="I99" s="1" t="s">
        <v>398</v>
      </c>
      <c r="J99" s="1" t="s">
        <v>1696</v>
      </c>
      <c r="K99" s="2">
        <v>45172</v>
      </c>
      <c r="L99" s="2" t="str">
        <f t="shared" si="16"/>
        <v>September</v>
      </c>
      <c r="M99" s="1" t="s">
        <v>1697</v>
      </c>
      <c r="N99" s="1" t="s">
        <v>488</v>
      </c>
      <c r="O99" s="1">
        <v>421.7</v>
      </c>
      <c r="P99" s="1">
        <v>3</v>
      </c>
      <c r="Q99" s="1">
        <f t="shared" si="17"/>
        <v>1265.0999999999999</v>
      </c>
      <c r="R99" s="1" t="s">
        <v>56</v>
      </c>
      <c r="S99" s="1">
        <f t="shared" si="18"/>
        <v>0</v>
      </c>
      <c r="T99" s="1">
        <f t="shared" si="19"/>
        <v>1265.0999999999999</v>
      </c>
      <c r="U99" s="1">
        <v>3</v>
      </c>
      <c r="V99" s="1">
        <f t="shared" si="20"/>
        <v>1321.1</v>
      </c>
      <c r="W99" s="1">
        <v>56</v>
      </c>
      <c r="X99" s="2">
        <v>45177</v>
      </c>
      <c r="Y99" s="1" t="s">
        <v>1698</v>
      </c>
      <c r="Z99" s="1">
        <f t="shared" si="21"/>
        <v>1321.1</v>
      </c>
      <c r="AA99" s="1">
        <f t="shared" si="22"/>
        <v>5</v>
      </c>
      <c r="AB99" s="1" t="str">
        <f t="shared" si="23"/>
        <v>Late</v>
      </c>
      <c r="AC99" s="1">
        <f t="shared" si="24"/>
        <v>1265.0999999999999</v>
      </c>
      <c r="AD99" s="7">
        <f t="shared" si="25"/>
        <v>0</v>
      </c>
      <c r="AE99" s="1">
        <f t="shared" si="26"/>
        <v>0</v>
      </c>
      <c r="AF99" s="1">
        <f t="shared" si="27"/>
        <v>0</v>
      </c>
    </row>
    <row r="100" spans="1:32" ht="14.25" customHeight="1" x14ac:dyDescent="0.3">
      <c r="A100" s="1" t="s">
        <v>367</v>
      </c>
      <c r="B100" s="1" t="s">
        <v>33</v>
      </c>
      <c r="C100" s="1" t="s">
        <v>368</v>
      </c>
      <c r="D100" s="1" t="str">
        <f t="shared" si="15"/>
        <v>Thomas Andersen</v>
      </c>
      <c r="E100" s="1">
        <v>50</v>
      </c>
      <c r="F100" s="1" t="s">
        <v>45</v>
      </c>
      <c r="G100" s="1" t="s">
        <v>133</v>
      </c>
      <c r="H100" s="1" t="s">
        <v>369</v>
      </c>
      <c r="I100" s="1" t="s">
        <v>370</v>
      </c>
      <c r="J100" s="1" t="s">
        <v>1890</v>
      </c>
      <c r="K100" s="2">
        <v>45149</v>
      </c>
      <c r="L100" s="2" t="str">
        <f t="shared" si="16"/>
        <v>August</v>
      </c>
      <c r="M100" s="1" t="s">
        <v>1891</v>
      </c>
      <c r="N100" s="1" t="s">
        <v>55</v>
      </c>
      <c r="O100" s="1">
        <v>405</v>
      </c>
      <c r="P100" s="1">
        <v>3</v>
      </c>
      <c r="Q100" s="1">
        <f t="shared" si="17"/>
        <v>1215</v>
      </c>
      <c r="R100" s="1" t="s">
        <v>89</v>
      </c>
      <c r="S100" s="1">
        <f t="shared" si="18"/>
        <v>121.5</v>
      </c>
      <c r="T100" s="1">
        <f t="shared" si="19"/>
        <v>1093.5</v>
      </c>
      <c r="U100" s="1">
        <v>6</v>
      </c>
      <c r="V100" s="1">
        <f t="shared" si="20"/>
        <v>1129.5</v>
      </c>
      <c r="W100" s="1">
        <v>36</v>
      </c>
      <c r="X100" s="2">
        <v>45153</v>
      </c>
      <c r="Y100" s="1" t="s">
        <v>1892</v>
      </c>
      <c r="Z100" s="1">
        <f t="shared" si="21"/>
        <v>1251</v>
      </c>
      <c r="AA100" s="1">
        <f t="shared" si="22"/>
        <v>4</v>
      </c>
      <c r="AB100" s="1" t="str">
        <f t="shared" si="23"/>
        <v>BeforeTime</v>
      </c>
      <c r="AC100" s="1">
        <f t="shared" si="24"/>
        <v>1215</v>
      </c>
      <c r="AD100" s="7">
        <f t="shared" si="25"/>
        <v>0.1</v>
      </c>
      <c r="AE100" s="1">
        <f t="shared" si="26"/>
        <v>121.5</v>
      </c>
      <c r="AF100" s="1">
        <f t="shared" si="27"/>
        <v>157.5</v>
      </c>
    </row>
    <row r="101" spans="1:32" ht="14.25" customHeight="1" x14ac:dyDescent="0.3">
      <c r="A101" s="1" t="s">
        <v>194</v>
      </c>
      <c r="B101" s="1" t="s">
        <v>195</v>
      </c>
      <c r="C101" s="1" t="s">
        <v>196</v>
      </c>
      <c r="D101" s="1" t="str">
        <f t="shared" si="15"/>
        <v>Deborah Bates</v>
      </c>
      <c r="E101" s="1">
        <v>23</v>
      </c>
      <c r="F101" s="1" t="s">
        <v>22</v>
      </c>
      <c r="G101" s="1" t="s">
        <v>83</v>
      </c>
      <c r="H101" s="1" t="s">
        <v>197</v>
      </c>
      <c r="I101" s="1" t="s">
        <v>198</v>
      </c>
      <c r="J101" s="1" t="s">
        <v>1986</v>
      </c>
      <c r="K101" s="2">
        <v>45373</v>
      </c>
      <c r="L101" s="2" t="str">
        <f t="shared" si="16"/>
        <v>March</v>
      </c>
      <c r="M101" s="1" t="s">
        <v>1987</v>
      </c>
      <c r="N101" s="1" t="s">
        <v>55</v>
      </c>
      <c r="O101" s="1">
        <v>405</v>
      </c>
      <c r="P101" s="1">
        <v>3</v>
      </c>
      <c r="Q101" s="1">
        <f t="shared" si="17"/>
        <v>1215</v>
      </c>
      <c r="R101" s="1" t="s">
        <v>89</v>
      </c>
      <c r="S101" s="1">
        <f t="shared" si="18"/>
        <v>121.5</v>
      </c>
      <c r="T101" s="1">
        <f t="shared" si="19"/>
        <v>1093.5</v>
      </c>
      <c r="U101" s="1">
        <v>5</v>
      </c>
      <c r="V101" s="1">
        <f t="shared" si="20"/>
        <v>1147.5</v>
      </c>
      <c r="W101" s="1">
        <v>54</v>
      </c>
      <c r="X101" s="2">
        <v>45379</v>
      </c>
      <c r="Y101" s="1" t="s">
        <v>1988</v>
      </c>
      <c r="Z101" s="1">
        <f t="shared" si="21"/>
        <v>1269</v>
      </c>
      <c r="AA101" s="1">
        <f t="shared" si="22"/>
        <v>6</v>
      </c>
      <c r="AB101" s="1" t="str">
        <f t="shared" si="23"/>
        <v>Late</v>
      </c>
      <c r="AC101" s="1">
        <f t="shared" si="24"/>
        <v>1215</v>
      </c>
      <c r="AD101" s="7">
        <f t="shared" si="25"/>
        <v>0.1</v>
      </c>
      <c r="AE101" s="1">
        <f t="shared" si="26"/>
        <v>121.5</v>
      </c>
      <c r="AF101" s="1">
        <f t="shared" si="27"/>
        <v>175.5</v>
      </c>
    </row>
    <row r="102" spans="1:32" ht="14.25" customHeight="1" x14ac:dyDescent="0.3">
      <c r="A102" s="1" t="s">
        <v>632</v>
      </c>
      <c r="B102" s="1" t="s">
        <v>141</v>
      </c>
      <c r="C102" s="1" t="s">
        <v>633</v>
      </c>
      <c r="D102" s="1" t="str">
        <f t="shared" si="15"/>
        <v>Amy Ellis</v>
      </c>
      <c r="E102" s="1">
        <v>44</v>
      </c>
      <c r="F102" s="1" t="s">
        <v>45</v>
      </c>
      <c r="G102" s="1" t="s">
        <v>83</v>
      </c>
      <c r="H102" s="1" t="s">
        <v>634</v>
      </c>
      <c r="I102" s="1" t="s">
        <v>635</v>
      </c>
      <c r="J102" s="1" t="s">
        <v>1029</v>
      </c>
      <c r="K102" s="2">
        <v>45208</v>
      </c>
      <c r="L102" s="2" t="str">
        <f t="shared" si="16"/>
        <v>October</v>
      </c>
      <c r="M102" s="1" t="s">
        <v>1030</v>
      </c>
      <c r="N102" s="1" t="s">
        <v>583</v>
      </c>
      <c r="O102" s="1">
        <v>403.03</v>
      </c>
      <c r="P102" s="1">
        <v>3</v>
      </c>
      <c r="Q102" s="1">
        <f t="shared" si="17"/>
        <v>1209.0899999999999</v>
      </c>
      <c r="R102" s="1" t="s">
        <v>51</v>
      </c>
      <c r="S102" s="1">
        <f t="shared" si="18"/>
        <v>181.36349999999999</v>
      </c>
      <c r="T102" s="1">
        <f t="shared" si="19"/>
        <v>1027.7265</v>
      </c>
      <c r="U102" s="1">
        <v>4</v>
      </c>
      <c r="V102" s="1">
        <f t="shared" si="20"/>
        <v>1094.7265</v>
      </c>
      <c r="W102" s="1">
        <v>67</v>
      </c>
      <c r="X102" s="2">
        <v>45213</v>
      </c>
      <c r="Y102" s="1" t="s">
        <v>1031</v>
      </c>
      <c r="Z102" s="1">
        <f t="shared" si="21"/>
        <v>1276.0899999999999</v>
      </c>
      <c r="AA102" s="1">
        <f t="shared" si="22"/>
        <v>5</v>
      </c>
      <c r="AB102" s="1" t="str">
        <f t="shared" si="23"/>
        <v>Late</v>
      </c>
      <c r="AC102" s="1">
        <f t="shared" si="24"/>
        <v>1209.0899999999999</v>
      </c>
      <c r="AD102" s="7">
        <f t="shared" si="25"/>
        <v>0.15</v>
      </c>
      <c r="AE102" s="1">
        <f t="shared" si="26"/>
        <v>181.36349999999999</v>
      </c>
      <c r="AF102" s="1">
        <f t="shared" si="27"/>
        <v>248.36349999999999</v>
      </c>
    </row>
    <row r="103" spans="1:32" ht="14.25" customHeight="1" x14ac:dyDescent="0.3">
      <c r="A103" s="1" t="s">
        <v>539</v>
      </c>
      <c r="B103" s="1" t="s">
        <v>540</v>
      </c>
      <c r="C103" s="1" t="s">
        <v>541</v>
      </c>
      <c r="D103" s="1" t="str">
        <f t="shared" si="15"/>
        <v>Jodi Whitney</v>
      </c>
      <c r="E103" s="1">
        <v>33</v>
      </c>
      <c r="F103" s="1" t="s">
        <v>45</v>
      </c>
      <c r="G103" s="1" t="s">
        <v>161</v>
      </c>
      <c r="H103" s="1" t="s">
        <v>542</v>
      </c>
      <c r="I103" s="1" t="s">
        <v>543</v>
      </c>
      <c r="J103" s="1" t="s">
        <v>1246</v>
      </c>
      <c r="K103" s="2">
        <v>45383</v>
      </c>
      <c r="L103" s="2" t="str">
        <f t="shared" si="16"/>
        <v>April</v>
      </c>
      <c r="M103" s="1" t="s">
        <v>1247</v>
      </c>
      <c r="N103" s="1" t="s">
        <v>583</v>
      </c>
      <c r="O103" s="1">
        <v>403.03</v>
      </c>
      <c r="P103" s="1">
        <v>3</v>
      </c>
      <c r="Q103" s="1">
        <f t="shared" si="17"/>
        <v>1209.0899999999999</v>
      </c>
      <c r="R103" s="1" t="s">
        <v>51</v>
      </c>
      <c r="S103" s="1">
        <f t="shared" si="18"/>
        <v>181.36349999999999</v>
      </c>
      <c r="T103" s="1">
        <f t="shared" si="19"/>
        <v>1027.7265</v>
      </c>
      <c r="U103" s="1">
        <v>5</v>
      </c>
      <c r="V103" s="1">
        <f t="shared" si="20"/>
        <v>1071.7265</v>
      </c>
      <c r="W103" s="1">
        <v>44</v>
      </c>
      <c r="X103" s="2">
        <v>45384</v>
      </c>
      <c r="Y103" s="1" t="s">
        <v>1248</v>
      </c>
      <c r="Z103" s="1">
        <f t="shared" si="21"/>
        <v>1253.0899999999999</v>
      </c>
      <c r="AA103" s="1">
        <f t="shared" si="22"/>
        <v>1</v>
      </c>
      <c r="AB103" s="1" t="str">
        <f t="shared" si="23"/>
        <v>BeforeTime</v>
      </c>
      <c r="AC103" s="1">
        <f t="shared" si="24"/>
        <v>1209.0899999999999</v>
      </c>
      <c r="AD103" s="7">
        <f t="shared" si="25"/>
        <v>0.15</v>
      </c>
      <c r="AE103" s="1">
        <f t="shared" si="26"/>
        <v>181.36349999999999</v>
      </c>
      <c r="AF103" s="1">
        <f t="shared" si="27"/>
        <v>225.36349999999999</v>
      </c>
    </row>
    <row r="104" spans="1:32" ht="14.25" customHeight="1" x14ac:dyDescent="0.3">
      <c r="A104" s="1" t="s">
        <v>528</v>
      </c>
      <c r="B104" s="1" t="s">
        <v>529</v>
      </c>
      <c r="C104" s="1" t="s">
        <v>530</v>
      </c>
      <c r="D104" s="1" t="str">
        <f t="shared" si="15"/>
        <v>Brandon Cruz</v>
      </c>
      <c r="E104" s="1">
        <v>32</v>
      </c>
      <c r="F104" s="1" t="s">
        <v>45</v>
      </c>
      <c r="G104" s="1" t="s">
        <v>83</v>
      </c>
      <c r="H104" s="1" t="s">
        <v>531</v>
      </c>
      <c r="I104" s="1" t="s">
        <v>532</v>
      </c>
      <c r="J104" s="1" t="s">
        <v>948</v>
      </c>
      <c r="K104" s="2">
        <v>45125</v>
      </c>
      <c r="L104" s="2" t="str">
        <f t="shared" si="16"/>
        <v>July</v>
      </c>
      <c r="M104" s="1" t="s">
        <v>949</v>
      </c>
      <c r="N104" s="1" t="s">
        <v>650</v>
      </c>
      <c r="O104" s="1">
        <v>235.63</v>
      </c>
      <c r="P104" s="1">
        <v>5</v>
      </c>
      <c r="Q104" s="1">
        <f t="shared" si="17"/>
        <v>1178.1500000000001</v>
      </c>
      <c r="R104" s="1" t="s">
        <v>29</v>
      </c>
      <c r="S104" s="1">
        <f t="shared" si="18"/>
        <v>94.25200000000001</v>
      </c>
      <c r="T104" s="1">
        <f t="shared" si="19"/>
        <v>1083.8980000000001</v>
      </c>
      <c r="U104" s="1">
        <v>4</v>
      </c>
      <c r="V104" s="1">
        <f t="shared" si="20"/>
        <v>1135.8980000000001</v>
      </c>
      <c r="W104" s="1">
        <v>52</v>
      </c>
      <c r="X104" s="2">
        <v>45129</v>
      </c>
      <c r="Y104" s="1" t="s">
        <v>950</v>
      </c>
      <c r="Z104" s="1">
        <f t="shared" si="21"/>
        <v>1230.1500000000001</v>
      </c>
      <c r="AA104" s="1">
        <f t="shared" si="22"/>
        <v>4</v>
      </c>
      <c r="AB104" s="1" t="str">
        <f t="shared" si="23"/>
        <v>Intime</v>
      </c>
      <c r="AC104" s="1">
        <f t="shared" si="24"/>
        <v>1178.1500000000001</v>
      </c>
      <c r="AD104" s="7">
        <f t="shared" si="25"/>
        <v>0.08</v>
      </c>
      <c r="AE104" s="1">
        <f t="shared" si="26"/>
        <v>94.25200000000001</v>
      </c>
      <c r="AF104" s="1">
        <f t="shared" si="27"/>
        <v>146.25200000000001</v>
      </c>
    </row>
    <row r="105" spans="1:32" ht="14.25" customHeight="1" x14ac:dyDescent="0.3">
      <c r="A105" s="1" t="s">
        <v>632</v>
      </c>
      <c r="B105" s="1" t="s">
        <v>141</v>
      </c>
      <c r="C105" s="1" t="s">
        <v>633</v>
      </c>
      <c r="D105" s="1" t="str">
        <f t="shared" si="15"/>
        <v>Amy Ellis</v>
      </c>
      <c r="E105" s="1">
        <v>44</v>
      </c>
      <c r="F105" s="1" t="s">
        <v>45</v>
      </c>
      <c r="G105" s="1" t="s">
        <v>83</v>
      </c>
      <c r="H105" s="1" t="s">
        <v>634</v>
      </c>
      <c r="I105" s="1" t="s">
        <v>635</v>
      </c>
      <c r="J105" s="1" t="s">
        <v>1181</v>
      </c>
      <c r="K105" s="2">
        <v>45109</v>
      </c>
      <c r="L105" s="2" t="str">
        <f t="shared" si="16"/>
        <v>July</v>
      </c>
      <c r="M105" s="1" t="s">
        <v>1182</v>
      </c>
      <c r="N105" s="1" t="s">
        <v>650</v>
      </c>
      <c r="O105" s="1">
        <v>235.63</v>
      </c>
      <c r="P105" s="1">
        <v>5</v>
      </c>
      <c r="Q105" s="1">
        <f t="shared" si="17"/>
        <v>1178.1500000000001</v>
      </c>
      <c r="R105" s="1" t="s">
        <v>78</v>
      </c>
      <c r="S105" s="1">
        <f t="shared" si="18"/>
        <v>235.63000000000002</v>
      </c>
      <c r="T105" s="1">
        <f t="shared" si="19"/>
        <v>942.5200000000001</v>
      </c>
      <c r="U105" s="1">
        <v>6</v>
      </c>
      <c r="V105" s="1">
        <f t="shared" si="20"/>
        <v>1005.5200000000001</v>
      </c>
      <c r="W105" s="1">
        <v>63</v>
      </c>
      <c r="X105" s="2">
        <v>45114</v>
      </c>
      <c r="Y105" s="1" t="s">
        <v>1183</v>
      </c>
      <c r="Z105" s="1">
        <f t="shared" si="21"/>
        <v>1241.1500000000001</v>
      </c>
      <c r="AA105" s="1">
        <f t="shared" si="22"/>
        <v>5</v>
      </c>
      <c r="AB105" s="1" t="str">
        <f t="shared" si="23"/>
        <v>BeforeTime</v>
      </c>
      <c r="AC105" s="1">
        <f t="shared" si="24"/>
        <v>1178.1500000000001</v>
      </c>
      <c r="AD105" s="7">
        <f t="shared" si="25"/>
        <v>0.2</v>
      </c>
      <c r="AE105" s="1">
        <f t="shared" si="26"/>
        <v>235.63000000000002</v>
      </c>
      <c r="AF105" s="1">
        <f t="shared" si="27"/>
        <v>298.63</v>
      </c>
    </row>
    <row r="106" spans="1:32" ht="14.25" customHeight="1" x14ac:dyDescent="0.3">
      <c r="A106" s="1" t="s">
        <v>500</v>
      </c>
      <c r="B106" s="1" t="s">
        <v>501</v>
      </c>
      <c r="C106" s="1" t="s">
        <v>502</v>
      </c>
      <c r="D106" s="1" t="str">
        <f t="shared" si="15"/>
        <v>Sarah Butler</v>
      </c>
      <c r="E106" s="1">
        <v>64</v>
      </c>
      <c r="F106" s="1" t="s">
        <v>22</v>
      </c>
      <c r="G106" s="1" t="s">
        <v>23</v>
      </c>
      <c r="H106" s="1" t="s">
        <v>503</v>
      </c>
      <c r="I106" s="1" t="s">
        <v>504</v>
      </c>
      <c r="J106" s="1" t="s">
        <v>862</v>
      </c>
      <c r="K106" s="2">
        <v>45576</v>
      </c>
      <c r="L106" s="2" t="str">
        <f t="shared" si="16"/>
        <v>October</v>
      </c>
      <c r="M106" s="1" t="s">
        <v>863</v>
      </c>
      <c r="N106" s="1" t="s">
        <v>864</v>
      </c>
      <c r="O106" s="1">
        <v>292.14999999999998</v>
      </c>
      <c r="P106" s="1">
        <v>4</v>
      </c>
      <c r="Q106" s="1">
        <f t="shared" si="17"/>
        <v>1168.5999999999999</v>
      </c>
      <c r="R106" s="1" t="s">
        <v>78</v>
      </c>
      <c r="S106" s="1">
        <f t="shared" si="18"/>
        <v>233.72</v>
      </c>
      <c r="T106" s="1">
        <f t="shared" si="19"/>
        <v>934.87999999999988</v>
      </c>
      <c r="U106" s="1">
        <v>1</v>
      </c>
      <c r="V106" s="1">
        <f t="shared" si="20"/>
        <v>992.87999999999988</v>
      </c>
      <c r="W106" s="1">
        <v>58</v>
      </c>
      <c r="X106" s="2">
        <v>45577</v>
      </c>
      <c r="Y106" s="1" t="s">
        <v>865</v>
      </c>
      <c r="Z106" s="1">
        <f t="shared" si="21"/>
        <v>1226.5999999999999</v>
      </c>
      <c r="AA106" s="1">
        <f t="shared" si="22"/>
        <v>1</v>
      </c>
      <c r="AB106" s="1" t="str">
        <f t="shared" si="23"/>
        <v>Intime</v>
      </c>
      <c r="AC106" s="1">
        <f t="shared" si="24"/>
        <v>1168.5999999999999</v>
      </c>
      <c r="AD106" s="7">
        <f t="shared" si="25"/>
        <v>0.2</v>
      </c>
      <c r="AE106" s="1">
        <f t="shared" si="26"/>
        <v>233.72</v>
      </c>
      <c r="AF106" s="1">
        <f t="shared" si="27"/>
        <v>291.72000000000003</v>
      </c>
    </row>
    <row r="107" spans="1:32" ht="14.25" customHeight="1" x14ac:dyDescent="0.3">
      <c r="A107" s="1" t="s">
        <v>286</v>
      </c>
      <c r="B107" s="1" t="s">
        <v>287</v>
      </c>
      <c r="C107" s="1" t="s">
        <v>288</v>
      </c>
      <c r="D107" s="1" t="str">
        <f t="shared" si="15"/>
        <v>Heather Schneider</v>
      </c>
      <c r="E107" s="1">
        <v>48</v>
      </c>
      <c r="F107" s="1" t="s">
        <v>34</v>
      </c>
      <c r="G107" s="1" t="s">
        <v>83</v>
      </c>
      <c r="H107" s="1" t="s">
        <v>289</v>
      </c>
      <c r="I107" s="1" t="s">
        <v>290</v>
      </c>
      <c r="J107" s="1" t="s">
        <v>1191</v>
      </c>
      <c r="K107" s="2">
        <v>45616</v>
      </c>
      <c r="L107" s="2" t="str">
        <f t="shared" si="16"/>
        <v>November</v>
      </c>
      <c r="M107" s="1" t="s">
        <v>1192</v>
      </c>
      <c r="N107" s="1" t="s">
        <v>239</v>
      </c>
      <c r="O107" s="1">
        <v>282.63</v>
      </c>
      <c r="P107" s="1">
        <v>4</v>
      </c>
      <c r="Q107" s="1">
        <f t="shared" si="17"/>
        <v>1130.52</v>
      </c>
      <c r="R107" s="1" t="s">
        <v>89</v>
      </c>
      <c r="S107" s="1">
        <f t="shared" si="18"/>
        <v>113.05200000000001</v>
      </c>
      <c r="T107" s="1">
        <f t="shared" si="19"/>
        <v>1017.468</v>
      </c>
      <c r="U107" s="1">
        <v>1</v>
      </c>
      <c r="V107" s="1">
        <f t="shared" si="20"/>
        <v>1077.4679999999998</v>
      </c>
      <c r="W107" s="1">
        <v>60</v>
      </c>
      <c r="X107" s="2">
        <v>45618</v>
      </c>
      <c r="Y107" s="1" t="s">
        <v>1193</v>
      </c>
      <c r="Z107" s="1">
        <f t="shared" si="21"/>
        <v>1190.52</v>
      </c>
      <c r="AA107" s="1">
        <f t="shared" si="22"/>
        <v>2</v>
      </c>
      <c r="AB107" s="1" t="str">
        <f t="shared" si="23"/>
        <v>Late</v>
      </c>
      <c r="AC107" s="1">
        <f t="shared" si="24"/>
        <v>1130.52</v>
      </c>
      <c r="AD107" s="7">
        <f t="shared" si="25"/>
        <v>0.1</v>
      </c>
      <c r="AE107" s="1">
        <f t="shared" si="26"/>
        <v>113.05200000000001</v>
      </c>
      <c r="AF107" s="1">
        <f t="shared" si="27"/>
        <v>173.05200000000002</v>
      </c>
    </row>
    <row r="108" spans="1:32" ht="14.25" customHeight="1" x14ac:dyDescent="0.3">
      <c r="A108" s="1" t="s">
        <v>500</v>
      </c>
      <c r="B108" s="1" t="s">
        <v>501</v>
      </c>
      <c r="C108" s="1" t="s">
        <v>502</v>
      </c>
      <c r="D108" s="1" t="str">
        <f t="shared" si="15"/>
        <v>Sarah Butler</v>
      </c>
      <c r="E108" s="1">
        <v>64</v>
      </c>
      <c r="F108" s="1" t="s">
        <v>22</v>
      </c>
      <c r="G108" s="1" t="s">
        <v>23</v>
      </c>
      <c r="H108" s="1" t="s">
        <v>503</v>
      </c>
      <c r="I108" s="1" t="s">
        <v>504</v>
      </c>
      <c r="J108" s="1" t="s">
        <v>1267</v>
      </c>
      <c r="K108" s="2">
        <v>45188</v>
      </c>
      <c r="L108" s="2" t="str">
        <f t="shared" si="16"/>
        <v>September</v>
      </c>
      <c r="M108" s="1" t="s">
        <v>1268</v>
      </c>
      <c r="N108" s="1" t="s">
        <v>239</v>
      </c>
      <c r="O108" s="1">
        <v>282.63</v>
      </c>
      <c r="P108" s="1">
        <v>4</v>
      </c>
      <c r="Q108" s="1">
        <f t="shared" si="17"/>
        <v>1130.52</v>
      </c>
      <c r="R108" s="1" t="s">
        <v>89</v>
      </c>
      <c r="S108" s="1">
        <f t="shared" si="18"/>
        <v>113.05200000000001</v>
      </c>
      <c r="T108" s="1">
        <f t="shared" si="19"/>
        <v>1017.468</v>
      </c>
      <c r="U108" s="1">
        <v>3</v>
      </c>
      <c r="V108" s="1">
        <f t="shared" si="20"/>
        <v>1069.4679999999998</v>
      </c>
      <c r="W108" s="1">
        <v>52</v>
      </c>
      <c r="X108" s="2">
        <v>45191</v>
      </c>
      <c r="Y108" s="1" t="s">
        <v>1269</v>
      </c>
      <c r="Z108" s="1">
        <f t="shared" si="21"/>
        <v>1182.52</v>
      </c>
      <c r="AA108" s="1">
        <f t="shared" si="22"/>
        <v>3</v>
      </c>
      <c r="AB108" s="1" t="str">
        <f t="shared" si="23"/>
        <v>Intime</v>
      </c>
      <c r="AC108" s="1">
        <f t="shared" si="24"/>
        <v>1130.52</v>
      </c>
      <c r="AD108" s="7">
        <f t="shared" si="25"/>
        <v>0.1</v>
      </c>
      <c r="AE108" s="1">
        <f t="shared" si="26"/>
        <v>113.05200000000001</v>
      </c>
      <c r="AF108" s="1">
        <f t="shared" si="27"/>
        <v>165.05200000000002</v>
      </c>
    </row>
    <row r="109" spans="1:32" ht="14.25" customHeight="1" x14ac:dyDescent="0.3">
      <c r="A109" s="1" t="s">
        <v>979</v>
      </c>
      <c r="B109" s="1" t="s">
        <v>980</v>
      </c>
      <c r="C109" s="1" t="s">
        <v>981</v>
      </c>
      <c r="D109" s="1" t="str">
        <f t="shared" si="15"/>
        <v>Natasha Michael</v>
      </c>
      <c r="E109" s="1">
        <v>49</v>
      </c>
      <c r="F109" s="1" t="s">
        <v>22</v>
      </c>
      <c r="G109" s="1" t="s">
        <v>35</v>
      </c>
      <c r="H109" s="1" t="s">
        <v>982</v>
      </c>
      <c r="I109" s="1" t="s">
        <v>983</v>
      </c>
      <c r="J109" s="1" t="s">
        <v>1521</v>
      </c>
      <c r="K109" s="2">
        <v>45122</v>
      </c>
      <c r="L109" s="2" t="str">
        <f t="shared" si="16"/>
        <v>July</v>
      </c>
      <c r="M109" s="1" t="s">
        <v>1522</v>
      </c>
      <c r="N109" s="1" t="s">
        <v>239</v>
      </c>
      <c r="O109" s="1">
        <v>282.63</v>
      </c>
      <c r="P109" s="1">
        <v>4</v>
      </c>
      <c r="Q109" s="1">
        <f t="shared" si="17"/>
        <v>1130.52</v>
      </c>
      <c r="R109" s="1" t="s">
        <v>89</v>
      </c>
      <c r="S109" s="1">
        <f t="shared" si="18"/>
        <v>113.05200000000001</v>
      </c>
      <c r="T109" s="1">
        <f t="shared" si="19"/>
        <v>1017.468</v>
      </c>
      <c r="U109" s="1">
        <v>1</v>
      </c>
      <c r="V109" s="1">
        <f t="shared" si="20"/>
        <v>1065.4679999999998</v>
      </c>
      <c r="W109" s="1">
        <v>48</v>
      </c>
      <c r="X109" s="2">
        <v>45125</v>
      </c>
      <c r="Y109" s="1" t="s">
        <v>1523</v>
      </c>
      <c r="Z109" s="1">
        <f t="shared" si="21"/>
        <v>1178.52</v>
      </c>
      <c r="AA109" s="1">
        <f t="shared" si="22"/>
        <v>3</v>
      </c>
      <c r="AB109" s="1" t="str">
        <f t="shared" si="23"/>
        <v>Late</v>
      </c>
      <c r="AC109" s="1">
        <f t="shared" si="24"/>
        <v>1130.52</v>
      </c>
      <c r="AD109" s="7">
        <f t="shared" si="25"/>
        <v>0.1</v>
      </c>
      <c r="AE109" s="1">
        <f t="shared" si="26"/>
        <v>113.05200000000001</v>
      </c>
      <c r="AF109" s="1">
        <f t="shared" si="27"/>
        <v>161.05200000000002</v>
      </c>
    </row>
    <row r="110" spans="1:32" ht="14.25" customHeight="1" x14ac:dyDescent="0.3">
      <c r="A110" s="1" t="s">
        <v>58</v>
      </c>
      <c r="B110" s="1" t="s">
        <v>59</v>
      </c>
      <c r="C110" s="1" t="s">
        <v>60</v>
      </c>
      <c r="D110" s="1" t="str">
        <f t="shared" si="15"/>
        <v>Angela Horne</v>
      </c>
      <c r="E110" s="1">
        <v>49</v>
      </c>
      <c r="F110" s="1" t="s">
        <v>45</v>
      </c>
      <c r="G110" s="1" t="s">
        <v>23</v>
      </c>
      <c r="H110" s="1" t="s">
        <v>61</v>
      </c>
      <c r="I110" s="1" t="s">
        <v>62</v>
      </c>
      <c r="J110" s="1" t="s">
        <v>335</v>
      </c>
      <c r="K110" s="2">
        <v>45557</v>
      </c>
      <c r="L110" s="2" t="str">
        <f t="shared" si="16"/>
        <v>September</v>
      </c>
      <c r="M110" s="1" t="s">
        <v>336</v>
      </c>
      <c r="N110" s="1" t="s">
        <v>337</v>
      </c>
      <c r="O110" s="1">
        <v>372.62</v>
      </c>
      <c r="P110" s="1">
        <v>3</v>
      </c>
      <c r="Q110" s="1">
        <f t="shared" si="17"/>
        <v>1117.8600000000001</v>
      </c>
      <c r="R110" s="1" t="s">
        <v>29</v>
      </c>
      <c r="S110" s="1">
        <f t="shared" si="18"/>
        <v>89.42880000000001</v>
      </c>
      <c r="T110" s="1">
        <f t="shared" si="19"/>
        <v>1028.4312000000002</v>
      </c>
      <c r="U110" s="1">
        <v>3</v>
      </c>
      <c r="V110" s="1">
        <f t="shared" si="20"/>
        <v>1087.4312000000002</v>
      </c>
      <c r="W110" s="1">
        <v>59</v>
      </c>
      <c r="X110" s="2">
        <v>45564</v>
      </c>
      <c r="Y110" s="1" t="s">
        <v>338</v>
      </c>
      <c r="Z110" s="1">
        <f t="shared" si="21"/>
        <v>1176.8600000000001</v>
      </c>
      <c r="AA110" s="1">
        <f t="shared" si="22"/>
        <v>7</v>
      </c>
      <c r="AB110" s="1" t="str">
        <f t="shared" si="23"/>
        <v>Late</v>
      </c>
      <c r="AC110" s="1">
        <f t="shared" si="24"/>
        <v>1117.8600000000001</v>
      </c>
      <c r="AD110" s="7">
        <f t="shared" si="25"/>
        <v>0.08</v>
      </c>
      <c r="AE110" s="1">
        <f t="shared" si="26"/>
        <v>89.42880000000001</v>
      </c>
      <c r="AF110" s="1">
        <f t="shared" si="27"/>
        <v>148.42880000000002</v>
      </c>
    </row>
    <row r="111" spans="1:32" ht="14.25" customHeight="1" x14ac:dyDescent="0.3">
      <c r="A111" s="1" t="s">
        <v>140</v>
      </c>
      <c r="B111" s="1" t="s">
        <v>141</v>
      </c>
      <c r="C111" s="1" t="s">
        <v>142</v>
      </c>
      <c r="D111" s="1" t="str">
        <f t="shared" si="15"/>
        <v>Amy Reid</v>
      </c>
      <c r="E111" s="1">
        <v>44</v>
      </c>
      <c r="F111" s="1" t="s">
        <v>34</v>
      </c>
      <c r="G111" s="1" t="s">
        <v>83</v>
      </c>
      <c r="H111" s="1" t="s">
        <v>143</v>
      </c>
      <c r="I111" s="1" t="s">
        <v>144</v>
      </c>
      <c r="J111" s="1" t="s">
        <v>339</v>
      </c>
      <c r="K111" s="2">
        <v>45568</v>
      </c>
      <c r="L111" s="2" t="str">
        <f t="shared" si="16"/>
        <v>October</v>
      </c>
      <c r="M111" s="1" t="s">
        <v>340</v>
      </c>
      <c r="N111" s="1" t="s">
        <v>337</v>
      </c>
      <c r="O111" s="1">
        <v>372.62</v>
      </c>
      <c r="P111" s="1">
        <v>3</v>
      </c>
      <c r="Q111" s="1">
        <f t="shared" si="17"/>
        <v>1117.8600000000001</v>
      </c>
      <c r="R111" s="1" t="s">
        <v>29</v>
      </c>
      <c r="S111" s="1">
        <f t="shared" si="18"/>
        <v>89.42880000000001</v>
      </c>
      <c r="T111" s="1">
        <f t="shared" si="19"/>
        <v>1028.4312000000002</v>
      </c>
      <c r="U111" s="1">
        <v>1</v>
      </c>
      <c r="V111" s="1">
        <f t="shared" si="20"/>
        <v>1080.4312000000002</v>
      </c>
      <c r="W111" s="1">
        <v>52</v>
      </c>
      <c r="X111" s="2">
        <v>45575</v>
      </c>
      <c r="Y111" s="1" t="s">
        <v>341</v>
      </c>
      <c r="Z111" s="1">
        <f t="shared" si="21"/>
        <v>1169.8600000000001</v>
      </c>
      <c r="AA111" s="1">
        <f t="shared" si="22"/>
        <v>7</v>
      </c>
      <c r="AB111" s="1" t="str">
        <f t="shared" si="23"/>
        <v>Late</v>
      </c>
      <c r="AC111" s="1">
        <f t="shared" si="24"/>
        <v>1117.8600000000001</v>
      </c>
      <c r="AD111" s="7">
        <f t="shared" si="25"/>
        <v>0.08</v>
      </c>
      <c r="AE111" s="1">
        <f t="shared" si="26"/>
        <v>89.42880000000001</v>
      </c>
      <c r="AF111" s="1">
        <f t="shared" si="27"/>
        <v>141.42880000000002</v>
      </c>
    </row>
    <row r="112" spans="1:32" ht="14.25" customHeight="1" x14ac:dyDescent="0.3">
      <c r="A112" s="1" t="s">
        <v>220</v>
      </c>
      <c r="B112" s="1" t="s">
        <v>221</v>
      </c>
      <c r="C112" s="1" t="s">
        <v>222</v>
      </c>
      <c r="D112" s="1" t="str">
        <f t="shared" si="15"/>
        <v>John Herrera</v>
      </c>
      <c r="E112" s="1">
        <v>64</v>
      </c>
      <c r="F112" s="1" t="s">
        <v>34</v>
      </c>
      <c r="G112" s="1" t="s">
        <v>35</v>
      </c>
      <c r="H112" s="1" t="s">
        <v>223</v>
      </c>
      <c r="I112" s="1" t="s">
        <v>224</v>
      </c>
      <c r="J112" s="1" t="s">
        <v>1297</v>
      </c>
      <c r="K112" s="2">
        <v>45351</v>
      </c>
      <c r="L112" s="2" t="str">
        <f t="shared" si="16"/>
        <v>February</v>
      </c>
      <c r="M112" s="1" t="s">
        <v>1298</v>
      </c>
      <c r="N112" s="1" t="s">
        <v>337</v>
      </c>
      <c r="O112" s="1">
        <v>372.62</v>
      </c>
      <c r="P112" s="1">
        <v>3</v>
      </c>
      <c r="Q112" s="1">
        <f t="shared" si="17"/>
        <v>1117.8600000000001</v>
      </c>
      <c r="R112" s="1" t="s">
        <v>56</v>
      </c>
      <c r="S112" s="1">
        <f t="shared" si="18"/>
        <v>0</v>
      </c>
      <c r="T112" s="1">
        <f t="shared" si="19"/>
        <v>1117.8600000000001</v>
      </c>
      <c r="U112" s="1">
        <v>5</v>
      </c>
      <c r="V112" s="1">
        <f t="shared" si="20"/>
        <v>1171.8600000000001</v>
      </c>
      <c r="W112" s="1">
        <v>54</v>
      </c>
      <c r="X112" s="2">
        <v>45352</v>
      </c>
      <c r="Y112" s="1" t="s">
        <v>1299</v>
      </c>
      <c r="Z112" s="1">
        <f t="shared" si="21"/>
        <v>1171.8600000000001</v>
      </c>
      <c r="AA112" s="1">
        <f t="shared" si="22"/>
        <v>1</v>
      </c>
      <c r="AB112" s="1" t="str">
        <f t="shared" si="23"/>
        <v>BeforeTime</v>
      </c>
      <c r="AC112" s="1">
        <f t="shared" si="24"/>
        <v>1117.8600000000001</v>
      </c>
      <c r="AD112" s="7">
        <f t="shared" si="25"/>
        <v>0</v>
      </c>
      <c r="AE112" s="1">
        <f t="shared" si="26"/>
        <v>0</v>
      </c>
      <c r="AF112" s="1">
        <f t="shared" si="27"/>
        <v>0</v>
      </c>
    </row>
    <row r="113" spans="1:32" ht="14.25" customHeight="1" x14ac:dyDescent="0.3">
      <c r="A113" s="1" t="s">
        <v>1072</v>
      </c>
      <c r="B113" s="1" t="s">
        <v>211</v>
      </c>
      <c r="C113" s="1" t="s">
        <v>1073</v>
      </c>
      <c r="D113" s="1" t="str">
        <f t="shared" si="15"/>
        <v>Mark Summers</v>
      </c>
      <c r="E113" s="1">
        <v>55</v>
      </c>
      <c r="F113" s="1" t="s">
        <v>34</v>
      </c>
      <c r="G113" s="1" t="s">
        <v>152</v>
      </c>
      <c r="H113" s="1" t="s">
        <v>1074</v>
      </c>
      <c r="I113" s="1" t="s">
        <v>1075</v>
      </c>
      <c r="J113" s="1" t="s">
        <v>1125</v>
      </c>
      <c r="K113" s="2">
        <v>45408</v>
      </c>
      <c r="L113" s="2" t="str">
        <f t="shared" si="16"/>
        <v>April</v>
      </c>
      <c r="M113" s="1" t="s">
        <v>1126</v>
      </c>
      <c r="N113" s="1" t="s">
        <v>423</v>
      </c>
      <c r="O113" s="1">
        <v>369.03</v>
      </c>
      <c r="P113" s="1">
        <v>3</v>
      </c>
      <c r="Q113" s="1">
        <f t="shared" si="17"/>
        <v>1107.0899999999999</v>
      </c>
      <c r="R113" s="1" t="s">
        <v>78</v>
      </c>
      <c r="S113" s="1">
        <f t="shared" si="18"/>
        <v>221.41800000000001</v>
      </c>
      <c r="T113" s="1">
        <f t="shared" si="19"/>
        <v>885.67199999999991</v>
      </c>
      <c r="U113" s="1">
        <v>2</v>
      </c>
      <c r="V113" s="1">
        <f t="shared" si="20"/>
        <v>950.67199999999991</v>
      </c>
      <c r="W113" s="1">
        <v>65</v>
      </c>
      <c r="X113" s="2">
        <v>45412</v>
      </c>
      <c r="Y113" s="1" t="s">
        <v>1127</v>
      </c>
      <c r="Z113" s="1">
        <f t="shared" si="21"/>
        <v>1172.0899999999999</v>
      </c>
      <c r="AA113" s="1">
        <f t="shared" si="22"/>
        <v>4</v>
      </c>
      <c r="AB113" s="1" t="str">
        <f t="shared" si="23"/>
        <v>Late</v>
      </c>
      <c r="AC113" s="1">
        <f t="shared" si="24"/>
        <v>1107.0899999999999</v>
      </c>
      <c r="AD113" s="7">
        <f t="shared" si="25"/>
        <v>0.2</v>
      </c>
      <c r="AE113" s="1">
        <f t="shared" si="26"/>
        <v>221.41800000000001</v>
      </c>
      <c r="AF113" s="1">
        <f t="shared" si="27"/>
        <v>286.41800000000001</v>
      </c>
    </row>
    <row r="114" spans="1:32" ht="14.25" customHeight="1" x14ac:dyDescent="0.3">
      <c r="A114" s="1" t="s">
        <v>1214</v>
      </c>
      <c r="B114" s="1" t="s">
        <v>1215</v>
      </c>
      <c r="C114" s="1" t="s">
        <v>1216</v>
      </c>
      <c r="D114" s="1" t="str">
        <f t="shared" si="15"/>
        <v>Jessica Ruiz</v>
      </c>
      <c r="E114" s="1">
        <v>19</v>
      </c>
      <c r="F114" s="1" t="s">
        <v>34</v>
      </c>
      <c r="G114" s="1" t="s">
        <v>69</v>
      </c>
      <c r="H114" s="1" t="s">
        <v>1217</v>
      </c>
      <c r="I114" s="1" t="s">
        <v>1218</v>
      </c>
      <c r="J114" s="1" t="s">
        <v>1366</v>
      </c>
      <c r="K114" s="2">
        <v>45049</v>
      </c>
      <c r="L114" s="2" t="str">
        <f t="shared" si="16"/>
        <v>May</v>
      </c>
      <c r="M114" s="1" t="s">
        <v>1367</v>
      </c>
      <c r="N114" s="1" t="s">
        <v>423</v>
      </c>
      <c r="O114" s="1">
        <v>369.03</v>
      </c>
      <c r="P114" s="1">
        <v>3</v>
      </c>
      <c r="Q114" s="1">
        <f t="shared" si="17"/>
        <v>1107.0899999999999</v>
      </c>
      <c r="R114" s="1" t="s">
        <v>29</v>
      </c>
      <c r="S114" s="1">
        <f t="shared" si="18"/>
        <v>88.5672</v>
      </c>
      <c r="T114" s="1">
        <f t="shared" si="19"/>
        <v>1018.5228</v>
      </c>
      <c r="U114" s="1">
        <v>6</v>
      </c>
      <c r="V114" s="1">
        <f t="shared" si="20"/>
        <v>1068.5228</v>
      </c>
      <c r="W114" s="1">
        <v>50</v>
      </c>
      <c r="X114" s="2">
        <v>45052</v>
      </c>
      <c r="Y114" s="1" t="s">
        <v>1368</v>
      </c>
      <c r="Z114" s="1">
        <f t="shared" si="21"/>
        <v>1157.0899999999999</v>
      </c>
      <c r="AA114" s="1">
        <f t="shared" si="22"/>
        <v>3</v>
      </c>
      <c r="AB114" s="1" t="str">
        <f t="shared" si="23"/>
        <v>BeforeTime</v>
      </c>
      <c r="AC114" s="1">
        <f t="shared" si="24"/>
        <v>1107.0899999999999</v>
      </c>
      <c r="AD114" s="7">
        <f t="shared" si="25"/>
        <v>0.08</v>
      </c>
      <c r="AE114" s="1">
        <f t="shared" si="26"/>
        <v>88.5672</v>
      </c>
      <c r="AF114" s="1">
        <f t="shared" si="27"/>
        <v>138.56720000000001</v>
      </c>
    </row>
    <row r="115" spans="1:32" ht="14.25" customHeight="1" x14ac:dyDescent="0.3">
      <c r="A115" s="1" t="s">
        <v>1607</v>
      </c>
      <c r="B115" s="1" t="s">
        <v>266</v>
      </c>
      <c r="C115" s="1" t="s">
        <v>1608</v>
      </c>
      <c r="D115" s="1" t="str">
        <f t="shared" si="15"/>
        <v>Lauren Crane</v>
      </c>
      <c r="E115" s="1">
        <v>62</v>
      </c>
      <c r="F115" s="1" t="s">
        <v>34</v>
      </c>
      <c r="G115" s="1" t="s">
        <v>35</v>
      </c>
      <c r="H115" s="1" t="s">
        <v>1609</v>
      </c>
      <c r="I115" s="1" t="s">
        <v>1610</v>
      </c>
      <c r="J115" s="1" t="s">
        <v>1659</v>
      </c>
      <c r="K115" s="2">
        <v>45459</v>
      </c>
      <c r="L115" s="2" t="str">
        <f t="shared" si="16"/>
        <v>June</v>
      </c>
      <c r="M115" s="1" t="s">
        <v>1660</v>
      </c>
      <c r="N115" s="1" t="s">
        <v>423</v>
      </c>
      <c r="O115" s="1">
        <v>369.03</v>
      </c>
      <c r="P115" s="1">
        <v>3</v>
      </c>
      <c r="Q115" s="1">
        <f t="shared" si="17"/>
        <v>1107.0899999999999</v>
      </c>
      <c r="R115" s="1" t="s">
        <v>29</v>
      </c>
      <c r="S115" s="1">
        <f t="shared" si="18"/>
        <v>88.5672</v>
      </c>
      <c r="T115" s="1">
        <f t="shared" si="19"/>
        <v>1018.5228</v>
      </c>
      <c r="U115" s="1">
        <v>6</v>
      </c>
      <c r="V115" s="1">
        <f t="shared" si="20"/>
        <v>1075.5228</v>
      </c>
      <c r="W115" s="1">
        <v>57</v>
      </c>
      <c r="X115" s="2">
        <v>45461</v>
      </c>
      <c r="Y115" s="1" t="s">
        <v>1661</v>
      </c>
      <c r="Z115" s="1">
        <f t="shared" si="21"/>
        <v>1164.0899999999999</v>
      </c>
      <c r="AA115" s="1">
        <f t="shared" si="22"/>
        <v>2</v>
      </c>
      <c r="AB115" s="1" t="str">
        <f t="shared" si="23"/>
        <v>BeforeTime</v>
      </c>
      <c r="AC115" s="1">
        <f t="shared" si="24"/>
        <v>1107.0899999999999</v>
      </c>
      <c r="AD115" s="7">
        <f t="shared" si="25"/>
        <v>0.08</v>
      </c>
      <c r="AE115" s="1">
        <f t="shared" si="26"/>
        <v>88.5672</v>
      </c>
      <c r="AF115" s="1">
        <f t="shared" si="27"/>
        <v>145.56720000000001</v>
      </c>
    </row>
    <row r="116" spans="1:32" ht="14.25" customHeight="1" x14ac:dyDescent="0.3">
      <c r="A116" s="1" t="s">
        <v>476</v>
      </c>
      <c r="B116" s="1" t="s">
        <v>477</v>
      </c>
      <c r="C116" s="1" t="s">
        <v>123</v>
      </c>
      <c r="D116" s="1" t="str">
        <f t="shared" si="15"/>
        <v>Brittany Stewart</v>
      </c>
      <c r="E116" s="1">
        <v>68</v>
      </c>
      <c r="F116" s="1" t="s">
        <v>45</v>
      </c>
      <c r="G116" s="1" t="s">
        <v>213</v>
      </c>
      <c r="H116" s="1" t="s">
        <v>478</v>
      </c>
      <c r="I116" s="1" t="s">
        <v>479</v>
      </c>
      <c r="J116" s="1" t="s">
        <v>480</v>
      </c>
      <c r="K116" s="2">
        <v>45002</v>
      </c>
      <c r="L116" s="2" t="str">
        <f t="shared" si="16"/>
        <v>March</v>
      </c>
      <c r="M116" s="1" t="s">
        <v>481</v>
      </c>
      <c r="N116" s="1" t="s">
        <v>98</v>
      </c>
      <c r="O116" s="1">
        <v>275.44</v>
      </c>
      <c r="P116" s="1">
        <v>4</v>
      </c>
      <c r="Q116" s="1">
        <f t="shared" si="17"/>
        <v>1101.76</v>
      </c>
      <c r="R116" s="1" t="s">
        <v>29</v>
      </c>
      <c r="S116" s="1">
        <f t="shared" si="18"/>
        <v>88.140799999999999</v>
      </c>
      <c r="T116" s="1">
        <f t="shared" si="19"/>
        <v>1013.6192</v>
      </c>
      <c r="U116" s="1">
        <v>4</v>
      </c>
      <c r="V116" s="1">
        <f t="shared" si="20"/>
        <v>1053.6192000000001</v>
      </c>
      <c r="W116" s="1">
        <v>40</v>
      </c>
      <c r="X116" s="2">
        <v>45007</v>
      </c>
      <c r="Y116" s="1" t="s">
        <v>482</v>
      </c>
      <c r="Z116" s="1">
        <f t="shared" si="21"/>
        <v>1141.76</v>
      </c>
      <c r="AA116" s="1">
        <f t="shared" si="22"/>
        <v>5</v>
      </c>
      <c r="AB116" s="1" t="str">
        <f t="shared" si="23"/>
        <v>Late</v>
      </c>
      <c r="AC116" s="1">
        <f t="shared" si="24"/>
        <v>1101.76</v>
      </c>
      <c r="AD116" s="7">
        <f t="shared" si="25"/>
        <v>0.08</v>
      </c>
      <c r="AE116" s="1">
        <f t="shared" si="26"/>
        <v>88.140799999999999</v>
      </c>
      <c r="AF116" s="1">
        <f t="shared" si="27"/>
        <v>128.14080000000001</v>
      </c>
    </row>
    <row r="117" spans="1:32" ht="14.25" customHeight="1" x14ac:dyDescent="0.3">
      <c r="A117" s="1" t="s">
        <v>1300</v>
      </c>
      <c r="B117" s="1" t="s">
        <v>1301</v>
      </c>
      <c r="C117" s="1" t="s">
        <v>1302</v>
      </c>
      <c r="D117" s="1" t="str">
        <f t="shared" si="15"/>
        <v>Megan Hunt</v>
      </c>
      <c r="E117" s="1">
        <v>63</v>
      </c>
      <c r="F117" s="1" t="s">
        <v>22</v>
      </c>
      <c r="G117" s="1" t="s">
        <v>161</v>
      </c>
      <c r="H117" s="1" t="s">
        <v>1303</v>
      </c>
      <c r="I117" s="1" t="s">
        <v>1304</v>
      </c>
      <c r="J117" s="1" t="s">
        <v>1485</v>
      </c>
      <c r="K117" s="2">
        <v>45107</v>
      </c>
      <c r="L117" s="2" t="str">
        <f t="shared" si="16"/>
        <v>June</v>
      </c>
      <c r="M117" s="1" t="s">
        <v>1486</v>
      </c>
      <c r="N117" s="1" t="s">
        <v>147</v>
      </c>
      <c r="O117" s="1">
        <v>220.27</v>
      </c>
      <c r="P117" s="1">
        <v>5</v>
      </c>
      <c r="Q117" s="1">
        <f t="shared" si="17"/>
        <v>1101.3500000000001</v>
      </c>
      <c r="R117" s="1" t="s">
        <v>78</v>
      </c>
      <c r="S117" s="1">
        <f t="shared" si="18"/>
        <v>220.27000000000004</v>
      </c>
      <c r="T117" s="1">
        <f t="shared" si="19"/>
        <v>881.08000000000015</v>
      </c>
      <c r="U117" s="1">
        <v>6</v>
      </c>
      <c r="V117" s="1">
        <f t="shared" si="20"/>
        <v>938.08000000000015</v>
      </c>
      <c r="W117" s="1">
        <v>57</v>
      </c>
      <c r="X117" s="2">
        <v>45109</v>
      </c>
      <c r="Y117" s="1" t="s">
        <v>1487</v>
      </c>
      <c r="Z117" s="1">
        <f t="shared" si="21"/>
        <v>1158.3500000000001</v>
      </c>
      <c r="AA117" s="1">
        <f t="shared" si="22"/>
        <v>2</v>
      </c>
      <c r="AB117" s="1" t="str">
        <f t="shared" si="23"/>
        <v>BeforeTime</v>
      </c>
      <c r="AC117" s="1">
        <f t="shared" si="24"/>
        <v>1101.3500000000001</v>
      </c>
      <c r="AD117" s="7">
        <f t="shared" si="25"/>
        <v>0.2</v>
      </c>
      <c r="AE117" s="1">
        <f t="shared" si="26"/>
        <v>220.27000000000004</v>
      </c>
      <c r="AF117" s="1">
        <f t="shared" si="27"/>
        <v>277.27000000000004</v>
      </c>
    </row>
    <row r="118" spans="1:32" ht="14.25" customHeight="1" x14ac:dyDescent="0.3">
      <c r="A118" s="1" t="s">
        <v>80</v>
      </c>
      <c r="B118" s="1" t="s">
        <v>81</v>
      </c>
      <c r="C118" s="1" t="s">
        <v>82</v>
      </c>
      <c r="D118" s="1" t="str">
        <f t="shared" si="15"/>
        <v>David Delacruz</v>
      </c>
      <c r="E118" s="1">
        <v>26</v>
      </c>
      <c r="F118" s="1" t="s">
        <v>34</v>
      </c>
      <c r="G118" s="1" t="s">
        <v>83</v>
      </c>
      <c r="H118" s="1" t="s">
        <v>84</v>
      </c>
      <c r="I118" s="1" t="s">
        <v>85</v>
      </c>
      <c r="J118" s="1" t="s">
        <v>86</v>
      </c>
      <c r="K118" s="2">
        <v>45459</v>
      </c>
      <c r="L118" s="2" t="str">
        <f t="shared" si="16"/>
        <v>June</v>
      </c>
      <c r="M118" s="1" t="s">
        <v>87</v>
      </c>
      <c r="N118" s="1" t="s">
        <v>88</v>
      </c>
      <c r="O118" s="1">
        <v>363.64</v>
      </c>
      <c r="P118" s="1">
        <v>3</v>
      </c>
      <c r="Q118" s="1">
        <f t="shared" si="17"/>
        <v>1090.92</v>
      </c>
      <c r="R118" s="1" t="s">
        <v>89</v>
      </c>
      <c r="S118" s="1">
        <f t="shared" si="18"/>
        <v>109.09200000000001</v>
      </c>
      <c r="T118" s="1">
        <f t="shared" si="19"/>
        <v>981.82800000000009</v>
      </c>
      <c r="U118" s="1">
        <v>2</v>
      </c>
      <c r="V118" s="1">
        <f t="shared" si="20"/>
        <v>1051.828</v>
      </c>
      <c r="W118" s="1">
        <v>70</v>
      </c>
      <c r="X118" s="2">
        <v>45464</v>
      </c>
      <c r="Y118" s="1" t="s">
        <v>90</v>
      </c>
      <c r="Z118" s="1">
        <f t="shared" si="21"/>
        <v>1160.92</v>
      </c>
      <c r="AA118" s="1">
        <f t="shared" si="22"/>
        <v>5</v>
      </c>
      <c r="AB118" s="1" t="str">
        <f t="shared" si="23"/>
        <v>Late</v>
      </c>
      <c r="AC118" s="1">
        <f t="shared" si="24"/>
        <v>1090.92</v>
      </c>
      <c r="AD118" s="7">
        <f t="shared" si="25"/>
        <v>0.1</v>
      </c>
      <c r="AE118" s="1">
        <f t="shared" si="26"/>
        <v>109.09200000000001</v>
      </c>
      <c r="AF118" s="1">
        <f t="shared" si="27"/>
        <v>179.09200000000001</v>
      </c>
    </row>
    <row r="119" spans="1:32" ht="14.25" customHeight="1" x14ac:dyDescent="0.3">
      <c r="A119" s="1" t="s">
        <v>112</v>
      </c>
      <c r="B119" s="1" t="s">
        <v>113</v>
      </c>
      <c r="C119" s="1" t="s">
        <v>114</v>
      </c>
      <c r="D119" s="1" t="str">
        <f t="shared" si="15"/>
        <v>Bobby Forbes</v>
      </c>
      <c r="E119" s="1">
        <v>20</v>
      </c>
      <c r="F119" s="1" t="s">
        <v>22</v>
      </c>
      <c r="G119" s="1" t="s">
        <v>83</v>
      </c>
      <c r="H119" s="1" t="s">
        <v>115</v>
      </c>
      <c r="I119" s="1" t="s">
        <v>116</v>
      </c>
      <c r="J119" s="1" t="s">
        <v>245</v>
      </c>
      <c r="K119" s="2">
        <v>45185</v>
      </c>
      <c r="L119" s="2" t="str">
        <f t="shared" si="16"/>
        <v>September</v>
      </c>
      <c r="M119" s="1" t="s">
        <v>246</v>
      </c>
      <c r="N119" s="1" t="s">
        <v>88</v>
      </c>
      <c r="O119" s="1">
        <v>363.64</v>
      </c>
      <c r="P119" s="1">
        <v>3</v>
      </c>
      <c r="Q119" s="1">
        <f t="shared" si="17"/>
        <v>1090.92</v>
      </c>
      <c r="R119" s="1" t="s">
        <v>78</v>
      </c>
      <c r="S119" s="1">
        <f t="shared" si="18"/>
        <v>218.18400000000003</v>
      </c>
      <c r="T119" s="1">
        <f t="shared" si="19"/>
        <v>872.7360000000001</v>
      </c>
      <c r="U119" s="1">
        <v>5</v>
      </c>
      <c r="V119" s="1">
        <f t="shared" si="20"/>
        <v>911.7360000000001</v>
      </c>
      <c r="W119" s="1">
        <v>39</v>
      </c>
      <c r="X119" s="2">
        <v>45189</v>
      </c>
      <c r="Y119" s="1" t="s">
        <v>247</v>
      </c>
      <c r="Z119" s="1">
        <f t="shared" si="21"/>
        <v>1129.92</v>
      </c>
      <c r="AA119" s="1">
        <f t="shared" si="22"/>
        <v>4</v>
      </c>
      <c r="AB119" s="1" t="str">
        <f t="shared" si="23"/>
        <v>BeforeTime</v>
      </c>
      <c r="AC119" s="1">
        <f t="shared" si="24"/>
        <v>1090.92</v>
      </c>
      <c r="AD119" s="7">
        <f t="shared" si="25"/>
        <v>0.2</v>
      </c>
      <c r="AE119" s="1">
        <f t="shared" si="26"/>
        <v>218.18400000000003</v>
      </c>
      <c r="AF119" s="1">
        <f t="shared" si="27"/>
        <v>257.18400000000003</v>
      </c>
    </row>
    <row r="120" spans="1:32" ht="14.25" customHeight="1" x14ac:dyDescent="0.3">
      <c r="A120" s="1" t="s">
        <v>451</v>
      </c>
      <c r="B120" s="1" t="s">
        <v>452</v>
      </c>
      <c r="C120" s="1" t="s">
        <v>453</v>
      </c>
      <c r="D120" s="1" t="str">
        <f t="shared" si="15"/>
        <v>Rebecca Figueroa</v>
      </c>
      <c r="E120" s="1">
        <v>63</v>
      </c>
      <c r="F120" s="1" t="s">
        <v>22</v>
      </c>
      <c r="G120" s="1" t="s">
        <v>133</v>
      </c>
      <c r="H120" s="1" t="s">
        <v>454</v>
      </c>
      <c r="I120" s="1" t="s">
        <v>455</v>
      </c>
      <c r="J120" s="1" t="s">
        <v>456</v>
      </c>
      <c r="K120" s="2">
        <v>45655</v>
      </c>
      <c r="L120" s="2" t="str">
        <f t="shared" si="16"/>
        <v>December</v>
      </c>
      <c r="M120" s="1" t="s">
        <v>457</v>
      </c>
      <c r="N120" s="1" t="s">
        <v>88</v>
      </c>
      <c r="O120" s="1">
        <v>363.64</v>
      </c>
      <c r="P120" s="1">
        <v>3</v>
      </c>
      <c r="Q120" s="1">
        <f t="shared" si="17"/>
        <v>1090.92</v>
      </c>
      <c r="R120" s="1" t="s">
        <v>89</v>
      </c>
      <c r="S120" s="1">
        <f t="shared" si="18"/>
        <v>109.09200000000001</v>
      </c>
      <c r="T120" s="1">
        <f t="shared" si="19"/>
        <v>981.82800000000009</v>
      </c>
      <c r="U120" s="1">
        <v>6</v>
      </c>
      <c r="V120" s="1">
        <f t="shared" si="20"/>
        <v>1050.828</v>
      </c>
      <c r="W120" s="1">
        <v>69</v>
      </c>
      <c r="X120" s="2">
        <v>45662</v>
      </c>
      <c r="Y120" s="1" t="s">
        <v>458</v>
      </c>
      <c r="Z120" s="1">
        <f t="shared" si="21"/>
        <v>1159.92</v>
      </c>
      <c r="AA120" s="1">
        <f t="shared" si="22"/>
        <v>7</v>
      </c>
      <c r="AB120" s="1" t="str">
        <f t="shared" si="23"/>
        <v>Late</v>
      </c>
      <c r="AC120" s="1">
        <f t="shared" si="24"/>
        <v>1090.92</v>
      </c>
      <c r="AD120" s="7">
        <f t="shared" si="25"/>
        <v>0.1</v>
      </c>
      <c r="AE120" s="1">
        <f t="shared" si="26"/>
        <v>109.09200000000001</v>
      </c>
      <c r="AF120" s="1">
        <f t="shared" si="27"/>
        <v>178.09200000000001</v>
      </c>
    </row>
    <row r="121" spans="1:32" ht="14.25" customHeight="1" x14ac:dyDescent="0.3">
      <c r="A121" s="1" t="s">
        <v>273</v>
      </c>
      <c r="B121" s="1" t="s">
        <v>274</v>
      </c>
      <c r="C121" s="1" t="s">
        <v>275</v>
      </c>
      <c r="D121" s="1" t="str">
        <f t="shared" si="15"/>
        <v>Teresa Harvey</v>
      </c>
      <c r="E121" s="1">
        <v>64</v>
      </c>
      <c r="F121" s="1" t="s">
        <v>45</v>
      </c>
      <c r="G121" s="1" t="s">
        <v>23</v>
      </c>
      <c r="H121" s="1" t="s">
        <v>276</v>
      </c>
      <c r="I121" s="1" t="s">
        <v>277</v>
      </c>
      <c r="J121" s="1" t="s">
        <v>558</v>
      </c>
      <c r="K121" s="2">
        <v>45459</v>
      </c>
      <c r="L121" s="2" t="str">
        <f t="shared" si="16"/>
        <v>June</v>
      </c>
      <c r="M121" s="1" t="s">
        <v>559</v>
      </c>
      <c r="N121" s="1" t="s">
        <v>88</v>
      </c>
      <c r="O121" s="1">
        <v>363.64</v>
      </c>
      <c r="P121" s="1">
        <v>3</v>
      </c>
      <c r="Q121" s="1">
        <f t="shared" si="17"/>
        <v>1090.92</v>
      </c>
      <c r="R121" s="1" t="s">
        <v>56</v>
      </c>
      <c r="S121" s="1">
        <f t="shared" si="18"/>
        <v>0</v>
      </c>
      <c r="T121" s="1">
        <f t="shared" si="19"/>
        <v>1090.92</v>
      </c>
      <c r="U121" s="1">
        <v>7</v>
      </c>
      <c r="V121" s="1">
        <f t="shared" si="20"/>
        <v>1131.92</v>
      </c>
      <c r="W121" s="1">
        <v>41</v>
      </c>
      <c r="X121" s="2">
        <v>45461</v>
      </c>
      <c r="Y121" s="1" t="s">
        <v>560</v>
      </c>
      <c r="Z121" s="1">
        <f t="shared" si="21"/>
        <v>1131.92</v>
      </c>
      <c r="AA121" s="1">
        <f t="shared" si="22"/>
        <v>2</v>
      </c>
      <c r="AB121" s="1" t="str">
        <f t="shared" si="23"/>
        <v>BeforeTime</v>
      </c>
      <c r="AC121" s="1">
        <f t="shared" si="24"/>
        <v>1090.92</v>
      </c>
      <c r="AD121" s="7">
        <f t="shared" si="25"/>
        <v>0</v>
      </c>
      <c r="AE121" s="1">
        <f t="shared" si="26"/>
        <v>0</v>
      </c>
      <c r="AF121" s="1">
        <f t="shared" si="27"/>
        <v>0</v>
      </c>
    </row>
    <row r="122" spans="1:32" ht="14.25" customHeight="1" x14ac:dyDescent="0.3">
      <c r="A122" s="1" t="s">
        <v>528</v>
      </c>
      <c r="B122" s="1" t="s">
        <v>529</v>
      </c>
      <c r="C122" s="1" t="s">
        <v>530</v>
      </c>
      <c r="D122" s="1" t="str">
        <f t="shared" si="15"/>
        <v>Brandon Cruz</v>
      </c>
      <c r="E122" s="1">
        <v>32</v>
      </c>
      <c r="F122" s="1" t="s">
        <v>45</v>
      </c>
      <c r="G122" s="1" t="s">
        <v>83</v>
      </c>
      <c r="H122" s="1" t="s">
        <v>531</v>
      </c>
      <c r="I122" s="1" t="s">
        <v>532</v>
      </c>
      <c r="J122" s="1" t="s">
        <v>1008</v>
      </c>
      <c r="K122" s="2">
        <v>45455</v>
      </c>
      <c r="L122" s="2" t="str">
        <f t="shared" si="16"/>
        <v>June</v>
      </c>
      <c r="M122" s="1" t="s">
        <v>1009</v>
      </c>
      <c r="N122" s="1" t="s">
        <v>88</v>
      </c>
      <c r="O122" s="1">
        <v>363.64</v>
      </c>
      <c r="P122" s="1">
        <v>3</v>
      </c>
      <c r="Q122" s="1">
        <f t="shared" si="17"/>
        <v>1090.92</v>
      </c>
      <c r="R122" s="1" t="s">
        <v>56</v>
      </c>
      <c r="S122" s="1">
        <f t="shared" si="18"/>
        <v>0</v>
      </c>
      <c r="T122" s="1">
        <f t="shared" si="19"/>
        <v>1090.92</v>
      </c>
      <c r="U122" s="1">
        <v>3</v>
      </c>
      <c r="V122" s="1">
        <f t="shared" si="20"/>
        <v>1160.92</v>
      </c>
      <c r="W122" s="1">
        <v>70</v>
      </c>
      <c r="X122" s="2">
        <v>45461</v>
      </c>
      <c r="Y122" s="1" t="s">
        <v>1010</v>
      </c>
      <c r="Z122" s="1">
        <f t="shared" si="21"/>
        <v>1160.92</v>
      </c>
      <c r="AA122" s="1">
        <f t="shared" si="22"/>
        <v>6</v>
      </c>
      <c r="AB122" s="1" t="str">
        <f t="shared" si="23"/>
        <v>Late</v>
      </c>
      <c r="AC122" s="1">
        <f t="shared" si="24"/>
        <v>1090.92</v>
      </c>
      <c r="AD122" s="7">
        <f t="shared" si="25"/>
        <v>0</v>
      </c>
      <c r="AE122" s="1">
        <f t="shared" si="26"/>
        <v>0</v>
      </c>
      <c r="AF122" s="1">
        <f t="shared" si="27"/>
        <v>0</v>
      </c>
    </row>
    <row r="123" spans="1:32" ht="14.25" customHeight="1" x14ac:dyDescent="0.3">
      <c r="A123" s="1" t="s">
        <v>513</v>
      </c>
      <c r="B123" s="1" t="s">
        <v>514</v>
      </c>
      <c r="C123" s="1" t="s">
        <v>515</v>
      </c>
      <c r="D123" s="1" t="str">
        <f t="shared" si="15"/>
        <v>Katherine Weber</v>
      </c>
      <c r="E123" s="1">
        <v>42</v>
      </c>
      <c r="F123" s="1" t="s">
        <v>45</v>
      </c>
      <c r="G123" s="1" t="s">
        <v>69</v>
      </c>
      <c r="H123" s="1" t="s">
        <v>516</v>
      </c>
      <c r="I123" s="1" t="s">
        <v>517</v>
      </c>
      <c r="J123" s="1" t="s">
        <v>1066</v>
      </c>
      <c r="K123" s="2">
        <v>45495</v>
      </c>
      <c r="L123" s="2" t="str">
        <f t="shared" si="16"/>
        <v>July</v>
      </c>
      <c r="M123" s="1" t="s">
        <v>1067</v>
      </c>
      <c r="N123" s="1" t="s">
        <v>88</v>
      </c>
      <c r="O123" s="1">
        <v>363.64</v>
      </c>
      <c r="P123" s="1">
        <v>3</v>
      </c>
      <c r="Q123" s="1">
        <f t="shared" si="17"/>
        <v>1090.92</v>
      </c>
      <c r="R123" s="1" t="s">
        <v>29</v>
      </c>
      <c r="S123" s="1">
        <f t="shared" si="18"/>
        <v>87.273600000000002</v>
      </c>
      <c r="T123" s="1">
        <f t="shared" si="19"/>
        <v>1003.6464000000001</v>
      </c>
      <c r="U123" s="1">
        <v>5</v>
      </c>
      <c r="V123" s="1">
        <f t="shared" si="20"/>
        <v>1056.6464000000001</v>
      </c>
      <c r="W123" s="1">
        <v>53</v>
      </c>
      <c r="X123" s="2">
        <v>45502</v>
      </c>
      <c r="Y123" s="1" t="s">
        <v>1068</v>
      </c>
      <c r="Z123" s="1">
        <f t="shared" si="21"/>
        <v>1143.92</v>
      </c>
      <c r="AA123" s="1">
        <f t="shared" si="22"/>
        <v>7</v>
      </c>
      <c r="AB123" s="1" t="str">
        <f t="shared" si="23"/>
        <v>Late</v>
      </c>
      <c r="AC123" s="1">
        <f t="shared" si="24"/>
        <v>1090.92</v>
      </c>
      <c r="AD123" s="7">
        <f t="shared" si="25"/>
        <v>0.08</v>
      </c>
      <c r="AE123" s="1">
        <f t="shared" si="26"/>
        <v>87.273600000000002</v>
      </c>
      <c r="AF123" s="1">
        <f t="shared" si="27"/>
        <v>140.27359999999999</v>
      </c>
    </row>
    <row r="124" spans="1:32" ht="14.25" customHeight="1" x14ac:dyDescent="0.3">
      <c r="A124" s="1" t="s">
        <v>265</v>
      </c>
      <c r="B124" s="1" t="s">
        <v>266</v>
      </c>
      <c r="C124" s="1" t="s">
        <v>267</v>
      </c>
      <c r="D124" s="1" t="str">
        <f t="shared" si="15"/>
        <v>Lauren Long</v>
      </c>
      <c r="E124" s="1">
        <v>44</v>
      </c>
      <c r="F124" s="1" t="s">
        <v>22</v>
      </c>
      <c r="G124" s="1" t="s">
        <v>213</v>
      </c>
      <c r="H124" s="1" t="s">
        <v>268</v>
      </c>
      <c r="I124" s="1" t="s">
        <v>269</v>
      </c>
      <c r="J124" s="1" t="s">
        <v>1175</v>
      </c>
      <c r="K124" s="2">
        <v>45390</v>
      </c>
      <c r="L124" s="2" t="str">
        <f t="shared" si="16"/>
        <v>April</v>
      </c>
      <c r="M124" s="1" t="s">
        <v>1176</v>
      </c>
      <c r="N124" s="1" t="s">
        <v>88</v>
      </c>
      <c r="O124" s="1">
        <v>363.64</v>
      </c>
      <c r="P124" s="1">
        <v>3</v>
      </c>
      <c r="Q124" s="1">
        <f t="shared" si="17"/>
        <v>1090.92</v>
      </c>
      <c r="R124" s="1" t="s">
        <v>51</v>
      </c>
      <c r="S124" s="1">
        <f t="shared" si="18"/>
        <v>163.63800000000001</v>
      </c>
      <c r="T124" s="1">
        <f t="shared" si="19"/>
        <v>927.28200000000004</v>
      </c>
      <c r="U124" s="1">
        <v>1</v>
      </c>
      <c r="V124" s="1">
        <f t="shared" si="20"/>
        <v>974.28200000000004</v>
      </c>
      <c r="W124" s="1">
        <v>47</v>
      </c>
      <c r="X124" s="2">
        <v>45395</v>
      </c>
      <c r="Y124" s="1" t="s">
        <v>1177</v>
      </c>
      <c r="Z124" s="1">
        <f t="shared" si="21"/>
        <v>1137.92</v>
      </c>
      <c r="AA124" s="1">
        <f t="shared" si="22"/>
        <v>5</v>
      </c>
      <c r="AB124" s="1" t="str">
        <f t="shared" si="23"/>
        <v>Late</v>
      </c>
      <c r="AC124" s="1">
        <f t="shared" si="24"/>
        <v>1090.92</v>
      </c>
      <c r="AD124" s="7">
        <f t="shared" si="25"/>
        <v>0.15</v>
      </c>
      <c r="AE124" s="1">
        <f t="shared" si="26"/>
        <v>163.63800000000001</v>
      </c>
      <c r="AF124" s="1">
        <f t="shared" si="27"/>
        <v>210.63800000000001</v>
      </c>
    </row>
    <row r="125" spans="1:32" ht="14.25" customHeight="1" x14ac:dyDescent="0.3">
      <c r="A125" s="1" t="s">
        <v>585</v>
      </c>
      <c r="B125" s="1" t="s">
        <v>586</v>
      </c>
      <c r="C125" s="1" t="s">
        <v>587</v>
      </c>
      <c r="D125" s="1" t="str">
        <f t="shared" si="15"/>
        <v>William Mann</v>
      </c>
      <c r="E125" s="1">
        <v>21</v>
      </c>
      <c r="F125" s="1" t="s">
        <v>22</v>
      </c>
      <c r="G125" s="1" t="s">
        <v>35</v>
      </c>
      <c r="H125" s="1" t="s">
        <v>588</v>
      </c>
      <c r="I125" s="1" t="s">
        <v>589</v>
      </c>
      <c r="J125" s="1" t="s">
        <v>1178</v>
      </c>
      <c r="K125" s="2">
        <v>45578</v>
      </c>
      <c r="L125" s="2" t="str">
        <f t="shared" si="16"/>
        <v>October</v>
      </c>
      <c r="M125" s="1" t="s">
        <v>1179</v>
      </c>
      <c r="N125" s="1" t="s">
        <v>88</v>
      </c>
      <c r="O125" s="1">
        <v>363.64</v>
      </c>
      <c r="P125" s="1">
        <v>3</v>
      </c>
      <c r="Q125" s="1">
        <f t="shared" si="17"/>
        <v>1090.92</v>
      </c>
      <c r="R125" s="1" t="s">
        <v>78</v>
      </c>
      <c r="S125" s="1">
        <f t="shared" si="18"/>
        <v>218.18400000000003</v>
      </c>
      <c r="T125" s="1">
        <f t="shared" si="19"/>
        <v>872.7360000000001</v>
      </c>
      <c r="U125" s="1">
        <v>6</v>
      </c>
      <c r="V125" s="1">
        <f t="shared" si="20"/>
        <v>936.7360000000001</v>
      </c>
      <c r="W125" s="1">
        <v>64</v>
      </c>
      <c r="X125" s="2">
        <v>45585</v>
      </c>
      <c r="Y125" s="1" t="s">
        <v>1180</v>
      </c>
      <c r="Z125" s="1">
        <f t="shared" si="21"/>
        <v>1154.92</v>
      </c>
      <c r="AA125" s="1">
        <f t="shared" si="22"/>
        <v>7</v>
      </c>
      <c r="AB125" s="1" t="str">
        <f t="shared" si="23"/>
        <v>Late</v>
      </c>
      <c r="AC125" s="1">
        <f t="shared" si="24"/>
        <v>1090.92</v>
      </c>
      <c r="AD125" s="7">
        <f t="shared" si="25"/>
        <v>0.2</v>
      </c>
      <c r="AE125" s="1">
        <f t="shared" si="26"/>
        <v>218.18400000000003</v>
      </c>
      <c r="AF125" s="1">
        <f t="shared" si="27"/>
        <v>282.18400000000003</v>
      </c>
    </row>
    <row r="126" spans="1:32" ht="14.25" customHeight="1" x14ac:dyDescent="0.3">
      <c r="A126" s="1" t="s">
        <v>158</v>
      </c>
      <c r="B126" s="1" t="s">
        <v>159</v>
      </c>
      <c r="C126" s="1" t="s">
        <v>160</v>
      </c>
      <c r="D126" s="1" t="str">
        <f t="shared" si="15"/>
        <v>Erin Miller</v>
      </c>
      <c r="E126" s="1">
        <v>46</v>
      </c>
      <c r="F126" s="1" t="s">
        <v>22</v>
      </c>
      <c r="G126" s="1" t="s">
        <v>161</v>
      </c>
      <c r="H126" s="1" t="s">
        <v>162</v>
      </c>
      <c r="I126" s="1" t="s">
        <v>163</v>
      </c>
      <c r="J126" s="1" t="s">
        <v>164</v>
      </c>
      <c r="K126" s="2">
        <v>44966</v>
      </c>
      <c r="L126" s="2" t="str">
        <f t="shared" si="16"/>
        <v>February</v>
      </c>
      <c r="M126" s="1" t="s">
        <v>165</v>
      </c>
      <c r="N126" s="1" t="s">
        <v>166</v>
      </c>
      <c r="O126" s="1">
        <v>272.51</v>
      </c>
      <c r="P126" s="1">
        <v>4</v>
      </c>
      <c r="Q126" s="1">
        <f t="shared" si="17"/>
        <v>1090.04</v>
      </c>
      <c r="R126" s="1" t="s">
        <v>89</v>
      </c>
      <c r="S126" s="1">
        <f t="shared" si="18"/>
        <v>109.004</v>
      </c>
      <c r="T126" s="1">
        <f t="shared" si="19"/>
        <v>981.03599999999994</v>
      </c>
      <c r="U126" s="1">
        <v>5</v>
      </c>
      <c r="V126" s="1">
        <f t="shared" si="20"/>
        <v>1021.0359999999999</v>
      </c>
      <c r="W126" s="1">
        <v>40</v>
      </c>
      <c r="X126" s="2">
        <v>44970</v>
      </c>
      <c r="Y126" s="1" t="s">
        <v>167</v>
      </c>
      <c r="Z126" s="1">
        <f t="shared" si="21"/>
        <v>1130.04</v>
      </c>
      <c r="AA126" s="1">
        <f t="shared" si="22"/>
        <v>4</v>
      </c>
      <c r="AB126" s="1" t="str">
        <f t="shared" si="23"/>
        <v>BeforeTime</v>
      </c>
      <c r="AC126" s="1">
        <f t="shared" si="24"/>
        <v>1090.04</v>
      </c>
      <c r="AD126" s="7">
        <f t="shared" si="25"/>
        <v>0.1</v>
      </c>
      <c r="AE126" s="1">
        <f t="shared" si="26"/>
        <v>109.004</v>
      </c>
      <c r="AF126" s="1">
        <f t="shared" si="27"/>
        <v>149.00400000000002</v>
      </c>
    </row>
    <row r="127" spans="1:32" ht="14.25" customHeight="1" x14ac:dyDescent="0.3">
      <c r="A127" s="1" t="s">
        <v>521</v>
      </c>
      <c r="B127" s="1" t="s">
        <v>387</v>
      </c>
      <c r="C127" s="1" t="s">
        <v>522</v>
      </c>
      <c r="D127" s="1" t="str">
        <f t="shared" si="15"/>
        <v>Jason Nguyen</v>
      </c>
      <c r="E127" s="1">
        <v>51</v>
      </c>
      <c r="F127" s="1" t="s">
        <v>45</v>
      </c>
      <c r="G127" s="1" t="s">
        <v>133</v>
      </c>
      <c r="H127" s="1" t="s">
        <v>523</v>
      </c>
      <c r="I127" s="1" t="s">
        <v>524</v>
      </c>
      <c r="J127" s="1" t="s">
        <v>801</v>
      </c>
      <c r="K127" s="2">
        <v>45598</v>
      </c>
      <c r="L127" s="2" t="str">
        <f t="shared" si="16"/>
        <v>November</v>
      </c>
      <c r="M127" s="1" t="s">
        <v>802</v>
      </c>
      <c r="N127" s="1" t="s">
        <v>166</v>
      </c>
      <c r="O127" s="1">
        <v>272.51</v>
      </c>
      <c r="P127" s="1">
        <v>4</v>
      </c>
      <c r="Q127" s="1">
        <f t="shared" si="17"/>
        <v>1090.04</v>
      </c>
      <c r="R127" s="1" t="s">
        <v>56</v>
      </c>
      <c r="S127" s="1">
        <f t="shared" si="18"/>
        <v>0</v>
      </c>
      <c r="T127" s="1">
        <f t="shared" si="19"/>
        <v>1090.04</v>
      </c>
      <c r="U127" s="1">
        <v>2</v>
      </c>
      <c r="V127" s="1">
        <f t="shared" si="20"/>
        <v>1132.04</v>
      </c>
      <c r="W127" s="1">
        <v>42</v>
      </c>
      <c r="X127" s="2">
        <v>45599</v>
      </c>
      <c r="Y127" s="1" t="s">
        <v>803</v>
      </c>
      <c r="Z127" s="1">
        <f t="shared" si="21"/>
        <v>1132.04</v>
      </c>
      <c r="AA127" s="1">
        <f t="shared" si="22"/>
        <v>1</v>
      </c>
      <c r="AB127" s="1" t="str">
        <f t="shared" si="23"/>
        <v>BeforeTime</v>
      </c>
      <c r="AC127" s="1">
        <f t="shared" si="24"/>
        <v>1090.04</v>
      </c>
      <c r="AD127" s="7">
        <f t="shared" si="25"/>
        <v>0</v>
      </c>
      <c r="AE127" s="1">
        <f t="shared" si="26"/>
        <v>0</v>
      </c>
      <c r="AF127" s="1">
        <f t="shared" si="27"/>
        <v>0</v>
      </c>
    </row>
    <row r="128" spans="1:32" ht="14.25" customHeight="1" x14ac:dyDescent="0.3">
      <c r="A128" s="1" t="s">
        <v>979</v>
      </c>
      <c r="B128" s="1" t="s">
        <v>980</v>
      </c>
      <c r="C128" s="1" t="s">
        <v>981</v>
      </c>
      <c r="D128" s="1" t="str">
        <f t="shared" si="15"/>
        <v>Natasha Michael</v>
      </c>
      <c r="E128" s="1">
        <v>49</v>
      </c>
      <c r="F128" s="1" t="s">
        <v>22</v>
      </c>
      <c r="G128" s="1" t="s">
        <v>35</v>
      </c>
      <c r="H128" s="1" t="s">
        <v>982</v>
      </c>
      <c r="I128" s="1" t="s">
        <v>983</v>
      </c>
      <c r="J128" s="1" t="s">
        <v>984</v>
      </c>
      <c r="K128" s="2">
        <v>45478</v>
      </c>
      <c r="L128" s="2" t="str">
        <f t="shared" si="16"/>
        <v>July</v>
      </c>
      <c r="M128" s="1" t="s">
        <v>985</v>
      </c>
      <c r="N128" s="1" t="s">
        <v>166</v>
      </c>
      <c r="O128" s="1">
        <v>272.51</v>
      </c>
      <c r="P128" s="1">
        <v>4</v>
      </c>
      <c r="Q128" s="1">
        <f t="shared" si="17"/>
        <v>1090.04</v>
      </c>
      <c r="R128" s="1" t="s">
        <v>56</v>
      </c>
      <c r="S128" s="1">
        <f t="shared" si="18"/>
        <v>0</v>
      </c>
      <c r="T128" s="1">
        <f t="shared" si="19"/>
        <v>1090.04</v>
      </c>
      <c r="U128" s="1">
        <v>1</v>
      </c>
      <c r="V128" s="1">
        <f t="shared" si="20"/>
        <v>1141.04</v>
      </c>
      <c r="W128" s="1">
        <v>51</v>
      </c>
      <c r="X128" s="2">
        <v>45480</v>
      </c>
      <c r="Y128" s="1" t="s">
        <v>986</v>
      </c>
      <c r="Z128" s="1">
        <f t="shared" si="21"/>
        <v>1141.04</v>
      </c>
      <c r="AA128" s="1">
        <f t="shared" si="22"/>
        <v>2</v>
      </c>
      <c r="AB128" s="1" t="str">
        <f t="shared" si="23"/>
        <v>Late</v>
      </c>
      <c r="AC128" s="1">
        <f t="shared" si="24"/>
        <v>1090.04</v>
      </c>
      <c r="AD128" s="7">
        <f t="shared" si="25"/>
        <v>0</v>
      </c>
      <c r="AE128" s="1">
        <f t="shared" si="26"/>
        <v>0</v>
      </c>
      <c r="AF128" s="1">
        <f t="shared" si="27"/>
        <v>0</v>
      </c>
    </row>
    <row r="129" spans="1:32" ht="14.25" customHeight="1" x14ac:dyDescent="0.3">
      <c r="A129" s="1" t="s">
        <v>1035</v>
      </c>
      <c r="B129" s="1" t="s">
        <v>67</v>
      </c>
      <c r="C129" s="1" t="s">
        <v>1036</v>
      </c>
      <c r="D129" s="1" t="str">
        <f t="shared" si="15"/>
        <v>Christine Aguilar</v>
      </c>
      <c r="E129" s="1">
        <v>46</v>
      </c>
      <c r="F129" s="1" t="s">
        <v>22</v>
      </c>
      <c r="G129" s="1" t="s">
        <v>23</v>
      </c>
      <c r="H129" s="1" t="s">
        <v>1037</v>
      </c>
      <c r="I129" s="1" t="s">
        <v>1038</v>
      </c>
      <c r="J129" s="1" t="s">
        <v>1057</v>
      </c>
      <c r="K129" s="2">
        <v>45481</v>
      </c>
      <c r="L129" s="2" t="str">
        <f t="shared" si="16"/>
        <v>July</v>
      </c>
      <c r="M129" s="1" t="s">
        <v>1058</v>
      </c>
      <c r="N129" s="1" t="s">
        <v>166</v>
      </c>
      <c r="O129" s="1">
        <v>272.51</v>
      </c>
      <c r="P129" s="1">
        <v>4</v>
      </c>
      <c r="Q129" s="1">
        <f t="shared" si="17"/>
        <v>1090.04</v>
      </c>
      <c r="R129" s="1" t="s">
        <v>56</v>
      </c>
      <c r="S129" s="1">
        <f t="shared" si="18"/>
        <v>0</v>
      </c>
      <c r="T129" s="1">
        <f t="shared" si="19"/>
        <v>1090.04</v>
      </c>
      <c r="U129" s="1">
        <v>7</v>
      </c>
      <c r="V129" s="1">
        <f t="shared" si="20"/>
        <v>1128.04</v>
      </c>
      <c r="W129" s="1">
        <v>38</v>
      </c>
      <c r="X129" s="2">
        <v>45482</v>
      </c>
      <c r="Y129" s="1" t="s">
        <v>1059</v>
      </c>
      <c r="Z129" s="1">
        <f t="shared" si="21"/>
        <v>1128.04</v>
      </c>
      <c r="AA129" s="1">
        <f t="shared" si="22"/>
        <v>1</v>
      </c>
      <c r="AB129" s="1" t="str">
        <f t="shared" si="23"/>
        <v>BeforeTime</v>
      </c>
      <c r="AC129" s="1">
        <f t="shared" si="24"/>
        <v>1090.04</v>
      </c>
      <c r="AD129" s="7">
        <f t="shared" si="25"/>
        <v>0</v>
      </c>
      <c r="AE129" s="1">
        <f t="shared" si="26"/>
        <v>0</v>
      </c>
      <c r="AF129" s="1">
        <f t="shared" si="27"/>
        <v>0</v>
      </c>
    </row>
    <row r="130" spans="1:32" ht="14.25" customHeight="1" x14ac:dyDescent="0.3">
      <c r="A130" s="1" t="s">
        <v>539</v>
      </c>
      <c r="B130" s="1" t="s">
        <v>540</v>
      </c>
      <c r="C130" s="1" t="s">
        <v>541</v>
      </c>
      <c r="D130" s="1" t="str">
        <f t="shared" ref="D130:D193" si="28">_xlfn.CONCAT(B130," ",C130)</f>
        <v>Jodi Whitney</v>
      </c>
      <c r="E130" s="1">
        <v>33</v>
      </c>
      <c r="F130" s="1" t="s">
        <v>45</v>
      </c>
      <c r="G130" s="1" t="s">
        <v>161</v>
      </c>
      <c r="H130" s="1" t="s">
        <v>542</v>
      </c>
      <c r="I130" s="1" t="s">
        <v>543</v>
      </c>
      <c r="J130" s="1" t="s">
        <v>1351</v>
      </c>
      <c r="K130" s="2">
        <v>45677</v>
      </c>
      <c r="L130" s="2" t="str">
        <f t="shared" ref="L130:L193" si="29">TEXT(K130,"mmmm")</f>
        <v>January</v>
      </c>
      <c r="M130" s="1" t="s">
        <v>1352</v>
      </c>
      <c r="N130" s="1" t="s">
        <v>166</v>
      </c>
      <c r="O130" s="1">
        <v>272.51</v>
      </c>
      <c r="P130" s="1">
        <v>4</v>
      </c>
      <c r="Q130" s="1">
        <f t="shared" ref="Q130:Q193" si="30">O130*P130</f>
        <v>1090.04</v>
      </c>
      <c r="R130" s="1" t="s">
        <v>78</v>
      </c>
      <c r="S130" s="1">
        <f t="shared" ref="S130:S193" si="31">IF(R130="FLAT8",O130*P130*8%,IF(R130="FLAT10",O130*P130*10%,IF(R130="FLAT15",O130*P130*15%,IF(R130="FLAT20",O130*P130*20%,0))))</f>
        <v>218.00800000000001</v>
      </c>
      <c r="T130" s="1">
        <f t="shared" ref="T130:T193" si="32">Q130-S130</f>
        <v>872.03199999999993</v>
      </c>
      <c r="U130" s="1">
        <v>6</v>
      </c>
      <c r="V130" s="1">
        <f t="shared" ref="V130:V193" si="33">T130+W130</f>
        <v>911.03199999999993</v>
      </c>
      <c r="W130" s="1">
        <v>39</v>
      </c>
      <c r="X130" s="2">
        <v>45679</v>
      </c>
      <c r="Y130" s="1" t="s">
        <v>1353</v>
      </c>
      <c r="Z130" s="1">
        <f t="shared" ref="Z130:Z193" si="34">(O130*P130)+W130</f>
        <v>1129.04</v>
      </c>
      <c r="AA130" s="1">
        <f t="shared" ref="AA130:AA193" si="35">X130-K130</f>
        <v>2</v>
      </c>
      <c r="AB130" s="1" t="str">
        <f t="shared" ref="AB130:AB193" si="36">IF(AA130&gt;U130,"Late",IF(AA130=U130,"Intime","BeforeTime"))</f>
        <v>BeforeTime</v>
      </c>
      <c r="AC130" s="1">
        <f t="shared" ref="AC130:AC193" si="37">O130*P130</f>
        <v>1090.04</v>
      </c>
      <c r="AD130" s="7">
        <f t="shared" ref="AD130:AD193" si="38">IF(R130="FLAT8",8%,IF(R130="FLAT10",10%,IF(R130="FLAT15",15%,IF(R130="FLAT20",20%,0))))</f>
        <v>0.2</v>
      </c>
      <c r="AE130" s="1">
        <f t="shared" ref="AE130:AE193" si="39">Q130*AD130</f>
        <v>218.00800000000001</v>
      </c>
      <c r="AF130" s="1">
        <f t="shared" ref="AF130:AF193" si="40">IF(R130="DEL0",AE130,AE130+W130)</f>
        <v>257.00800000000004</v>
      </c>
    </row>
    <row r="131" spans="1:32" ht="14.25" customHeight="1" x14ac:dyDescent="0.3">
      <c r="A131" s="1" t="s">
        <v>483</v>
      </c>
      <c r="B131" s="1" t="s">
        <v>179</v>
      </c>
      <c r="C131" s="1" t="s">
        <v>320</v>
      </c>
      <c r="D131" s="1" t="str">
        <f t="shared" si="28"/>
        <v>Mitchell Parker</v>
      </c>
      <c r="E131" s="1">
        <v>39</v>
      </c>
      <c r="F131" s="1" t="s">
        <v>45</v>
      </c>
      <c r="G131" s="1" t="s">
        <v>35</v>
      </c>
      <c r="H131" s="1" t="s">
        <v>484</v>
      </c>
      <c r="I131" s="1" t="s">
        <v>485</v>
      </c>
      <c r="J131" s="1" t="s">
        <v>736</v>
      </c>
      <c r="K131" s="2">
        <v>45397</v>
      </c>
      <c r="L131" s="2" t="str">
        <f t="shared" si="29"/>
        <v>April</v>
      </c>
      <c r="M131" s="1" t="s">
        <v>737</v>
      </c>
      <c r="N131" s="1" t="s">
        <v>119</v>
      </c>
      <c r="O131" s="1">
        <v>257.06</v>
      </c>
      <c r="P131" s="1">
        <v>4</v>
      </c>
      <c r="Q131" s="1">
        <f t="shared" si="30"/>
        <v>1028.24</v>
      </c>
      <c r="R131" s="1" t="s">
        <v>78</v>
      </c>
      <c r="S131" s="1">
        <f t="shared" si="31"/>
        <v>205.64800000000002</v>
      </c>
      <c r="T131" s="1">
        <f t="shared" si="32"/>
        <v>822.59199999999998</v>
      </c>
      <c r="U131" s="1">
        <v>3</v>
      </c>
      <c r="V131" s="1">
        <f t="shared" si="33"/>
        <v>872.59199999999998</v>
      </c>
      <c r="W131" s="1">
        <v>50</v>
      </c>
      <c r="X131" s="2">
        <v>45401</v>
      </c>
      <c r="Y131" s="1" t="s">
        <v>738</v>
      </c>
      <c r="Z131" s="1">
        <f t="shared" si="34"/>
        <v>1078.24</v>
      </c>
      <c r="AA131" s="1">
        <f t="shared" si="35"/>
        <v>4</v>
      </c>
      <c r="AB131" s="1" t="str">
        <f t="shared" si="36"/>
        <v>Late</v>
      </c>
      <c r="AC131" s="1">
        <f t="shared" si="37"/>
        <v>1028.24</v>
      </c>
      <c r="AD131" s="7">
        <f t="shared" si="38"/>
        <v>0.2</v>
      </c>
      <c r="AE131" s="1">
        <f t="shared" si="39"/>
        <v>205.64800000000002</v>
      </c>
      <c r="AF131" s="1">
        <f t="shared" si="40"/>
        <v>255.64800000000002</v>
      </c>
    </row>
    <row r="132" spans="1:32" ht="14.25" customHeight="1" x14ac:dyDescent="0.3">
      <c r="A132" s="1" t="s">
        <v>596</v>
      </c>
      <c r="B132" s="1" t="s">
        <v>597</v>
      </c>
      <c r="C132" s="1" t="s">
        <v>396</v>
      </c>
      <c r="D132" s="1" t="str">
        <f t="shared" si="28"/>
        <v>Kelli Smith</v>
      </c>
      <c r="E132" s="1">
        <v>18</v>
      </c>
      <c r="F132" s="1" t="s">
        <v>34</v>
      </c>
      <c r="G132" s="1" t="s">
        <v>35</v>
      </c>
      <c r="H132" s="1" t="s">
        <v>598</v>
      </c>
      <c r="I132" s="1" t="s">
        <v>599</v>
      </c>
      <c r="J132" s="1" t="s">
        <v>757</v>
      </c>
      <c r="K132" s="2">
        <v>45023</v>
      </c>
      <c r="L132" s="2" t="str">
        <f t="shared" si="29"/>
        <v>April</v>
      </c>
      <c r="M132" s="1" t="s">
        <v>758</v>
      </c>
      <c r="N132" s="1" t="s">
        <v>119</v>
      </c>
      <c r="O132" s="1">
        <v>257.06</v>
      </c>
      <c r="P132" s="1">
        <v>4</v>
      </c>
      <c r="Q132" s="1">
        <f t="shared" si="30"/>
        <v>1028.24</v>
      </c>
      <c r="R132" s="1" t="s">
        <v>89</v>
      </c>
      <c r="S132" s="1">
        <f t="shared" si="31"/>
        <v>102.82400000000001</v>
      </c>
      <c r="T132" s="1">
        <f t="shared" si="32"/>
        <v>925.41599999999994</v>
      </c>
      <c r="U132" s="1">
        <v>1</v>
      </c>
      <c r="V132" s="1">
        <f t="shared" si="33"/>
        <v>990.41599999999994</v>
      </c>
      <c r="W132" s="1">
        <v>65</v>
      </c>
      <c r="X132" s="2">
        <v>45025</v>
      </c>
      <c r="Y132" s="1" t="s">
        <v>759</v>
      </c>
      <c r="Z132" s="1">
        <f t="shared" si="34"/>
        <v>1093.24</v>
      </c>
      <c r="AA132" s="1">
        <f t="shared" si="35"/>
        <v>2</v>
      </c>
      <c r="AB132" s="1" t="str">
        <f t="shared" si="36"/>
        <v>Late</v>
      </c>
      <c r="AC132" s="1">
        <f t="shared" si="37"/>
        <v>1028.24</v>
      </c>
      <c r="AD132" s="7">
        <f t="shared" si="38"/>
        <v>0.1</v>
      </c>
      <c r="AE132" s="1">
        <f t="shared" si="39"/>
        <v>102.82400000000001</v>
      </c>
      <c r="AF132" s="1">
        <f t="shared" si="40"/>
        <v>167.82400000000001</v>
      </c>
    </row>
    <row r="133" spans="1:32" ht="14.25" customHeight="1" x14ac:dyDescent="0.3">
      <c r="A133" s="1" t="s">
        <v>760</v>
      </c>
      <c r="B133" s="1" t="s">
        <v>761</v>
      </c>
      <c r="C133" s="1" t="s">
        <v>762</v>
      </c>
      <c r="D133" s="1" t="str">
        <f t="shared" si="28"/>
        <v>Kristina Haynes</v>
      </c>
      <c r="E133" s="1">
        <v>27</v>
      </c>
      <c r="F133" s="1" t="s">
        <v>22</v>
      </c>
      <c r="G133" s="1" t="s">
        <v>35</v>
      </c>
      <c r="H133" s="1" t="s">
        <v>763</v>
      </c>
      <c r="I133" s="1" t="s">
        <v>764</v>
      </c>
      <c r="J133" s="1" t="s">
        <v>990</v>
      </c>
      <c r="K133" s="2">
        <v>45132</v>
      </c>
      <c r="L133" s="2" t="str">
        <f t="shared" si="29"/>
        <v>July</v>
      </c>
      <c r="M133" s="1" t="s">
        <v>991</v>
      </c>
      <c r="N133" s="1" t="s">
        <v>119</v>
      </c>
      <c r="O133" s="1">
        <v>257.06</v>
      </c>
      <c r="P133" s="1">
        <v>4</v>
      </c>
      <c r="Q133" s="1">
        <f t="shared" si="30"/>
        <v>1028.24</v>
      </c>
      <c r="R133" s="1" t="s">
        <v>56</v>
      </c>
      <c r="S133" s="1">
        <f t="shared" si="31"/>
        <v>0</v>
      </c>
      <c r="T133" s="1">
        <f t="shared" si="32"/>
        <v>1028.24</v>
      </c>
      <c r="U133" s="1">
        <v>5</v>
      </c>
      <c r="V133" s="1">
        <f t="shared" si="33"/>
        <v>1080.24</v>
      </c>
      <c r="W133" s="1">
        <v>52</v>
      </c>
      <c r="X133" s="2">
        <v>45136</v>
      </c>
      <c r="Y133" s="1" t="s">
        <v>992</v>
      </c>
      <c r="Z133" s="1">
        <f t="shared" si="34"/>
        <v>1080.24</v>
      </c>
      <c r="AA133" s="1">
        <f t="shared" si="35"/>
        <v>4</v>
      </c>
      <c r="AB133" s="1" t="str">
        <f t="shared" si="36"/>
        <v>BeforeTime</v>
      </c>
      <c r="AC133" s="1">
        <f t="shared" si="37"/>
        <v>1028.24</v>
      </c>
      <c r="AD133" s="7">
        <f t="shared" si="38"/>
        <v>0</v>
      </c>
      <c r="AE133" s="1">
        <f t="shared" si="39"/>
        <v>0</v>
      </c>
      <c r="AF133" s="1">
        <f t="shared" si="40"/>
        <v>0</v>
      </c>
    </row>
    <row r="134" spans="1:32" ht="14.25" customHeight="1" x14ac:dyDescent="0.3">
      <c r="A134" s="1" t="s">
        <v>428</v>
      </c>
      <c r="B134" s="1" t="s">
        <v>429</v>
      </c>
      <c r="C134" s="1" t="s">
        <v>430</v>
      </c>
      <c r="D134" s="1" t="str">
        <f t="shared" si="28"/>
        <v>Mary Knight</v>
      </c>
      <c r="E134" s="1">
        <v>28</v>
      </c>
      <c r="F134" s="1" t="s">
        <v>45</v>
      </c>
      <c r="G134" s="1" t="s">
        <v>69</v>
      </c>
      <c r="H134" s="1" t="s">
        <v>431</v>
      </c>
      <c r="I134" s="1" t="s">
        <v>432</v>
      </c>
      <c r="J134" s="1" t="s">
        <v>1595</v>
      </c>
      <c r="K134" s="2">
        <v>45600</v>
      </c>
      <c r="L134" s="2" t="str">
        <f t="shared" si="29"/>
        <v>November</v>
      </c>
      <c r="M134" s="1" t="s">
        <v>1596</v>
      </c>
      <c r="N134" s="1" t="s">
        <v>119</v>
      </c>
      <c r="O134" s="1">
        <v>257.06</v>
      </c>
      <c r="P134" s="1">
        <v>4</v>
      </c>
      <c r="Q134" s="1">
        <f t="shared" si="30"/>
        <v>1028.24</v>
      </c>
      <c r="R134" s="1" t="s">
        <v>89</v>
      </c>
      <c r="S134" s="1">
        <f t="shared" si="31"/>
        <v>102.82400000000001</v>
      </c>
      <c r="T134" s="1">
        <f t="shared" si="32"/>
        <v>925.41599999999994</v>
      </c>
      <c r="U134" s="1">
        <v>6</v>
      </c>
      <c r="V134" s="1">
        <f t="shared" si="33"/>
        <v>994.41599999999994</v>
      </c>
      <c r="W134" s="1">
        <v>69</v>
      </c>
      <c r="X134" s="2">
        <v>45603</v>
      </c>
      <c r="Y134" s="1" t="s">
        <v>1597</v>
      </c>
      <c r="Z134" s="1">
        <f t="shared" si="34"/>
        <v>1097.24</v>
      </c>
      <c r="AA134" s="1">
        <f t="shared" si="35"/>
        <v>3</v>
      </c>
      <c r="AB134" s="1" t="str">
        <f t="shared" si="36"/>
        <v>BeforeTime</v>
      </c>
      <c r="AC134" s="1">
        <f t="shared" si="37"/>
        <v>1028.24</v>
      </c>
      <c r="AD134" s="7">
        <f t="shared" si="38"/>
        <v>0.1</v>
      </c>
      <c r="AE134" s="1">
        <f t="shared" si="39"/>
        <v>102.82400000000001</v>
      </c>
      <c r="AF134" s="1">
        <f t="shared" si="40"/>
        <v>171.82400000000001</v>
      </c>
    </row>
    <row r="135" spans="1:32" ht="14.25" customHeight="1" x14ac:dyDescent="0.3">
      <c r="A135" s="1" t="s">
        <v>112</v>
      </c>
      <c r="B135" s="1" t="s">
        <v>113</v>
      </c>
      <c r="C135" s="1" t="s">
        <v>114</v>
      </c>
      <c r="D135" s="1" t="str">
        <f t="shared" si="28"/>
        <v>Bobby Forbes</v>
      </c>
      <c r="E135" s="1">
        <v>20</v>
      </c>
      <c r="F135" s="1" t="s">
        <v>22</v>
      </c>
      <c r="G135" s="1" t="s">
        <v>83</v>
      </c>
      <c r="H135" s="1" t="s">
        <v>115</v>
      </c>
      <c r="I135" s="1" t="s">
        <v>116</v>
      </c>
      <c r="J135" s="1" t="s">
        <v>754</v>
      </c>
      <c r="K135" s="2">
        <v>45156</v>
      </c>
      <c r="L135" s="2" t="str">
        <f t="shared" si="29"/>
        <v>August</v>
      </c>
      <c r="M135" s="1" t="s">
        <v>755</v>
      </c>
      <c r="N135" s="1" t="s">
        <v>50</v>
      </c>
      <c r="O135" s="1">
        <v>202.54</v>
      </c>
      <c r="P135" s="1">
        <v>5</v>
      </c>
      <c r="Q135" s="1">
        <f t="shared" si="30"/>
        <v>1012.6999999999999</v>
      </c>
      <c r="R135" s="1" t="s">
        <v>29</v>
      </c>
      <c r="S135" s="1">
        <f t="shared" si="31"/>
        <v>81.015999999999991</v>
      </c>
      <c r="T135" s="1">
        <f t="shared" si="32"/>
        <v>931.68399999999997</v>
      </c>
      <c r="U135" s="1">
        <v>2</v>
      </c>
      <c r="V135" s="1">
        <f t="shared" si="33"/>
        <v>999.68399999999997</v>
      </c>
      <c r="W135" s="1">
        <v>68</v>
      </c>
      <c r="X135" s="2">
        <v>45159</v>
      </c>
      <c r="Y135" s="1" t="s">
        <v>756</v>
      </c>
      <c r="Z135" s="1">
        <f t="shared" si="34"/>
        <v>1080.6999999999998</v>
      </c>
      <c r="AA135" s="1">
        <f t="shared" si="35"/>
        <v>3</v>
      </c>
      <c r="AB135" s="1" t="str">
        <f t="shared" si="36"/>
        <v>Late</v>
      </c>
      <c r="AC135" s="1">
        <f t="shared" si="37"/>
        <v>1012.6999999999999</v>
      </c>
      <c r="AD135" s="7">
        <f t="shared" si="38"/>
        <v>0.08</v>
      </c>
      <c r="AE135" s="1">
        <f t="shared" si="39"/>
        <v>81.015999999999991</v>
      </c>
      <c r="AF135" s="1">
        <f t="shared" si="40"/>
        <v>149.01599999999999</v>
      </c>
    </row>
    <row r="136" spans="1:32" ht="14.25" customHeight="1" x14ac:dyDescent="0.3">
      <c r="A136" s="1" t="s">
        <v>394</v>
      </c>
      <c r="B136" s="1" t="s">
        <v>395</v>
      </c>
      <c r="C136" s="1" t="s">
        <v>396</v>
      </c>
      <c r="D136" s="1" t="str">
        <f t="shared" si="28"/>
        <v>Alexandra Smith</v>
      </c>
      <c r="E136" s="1">
        <v>70</v>
      </c>
      <c r="F136" s="1" t="s">
        <v>22</v>
      </c>
      <c r="G136" s="1" t="s">
        <v>23</v>
      </c>
      <c r="H136" s="1" t="s">
        <v>397</v>
      </c>
      <c r="I136" s="1" t="s">
        <v>398</v>
      </c>
      <c r="J136" s="1" t="s">
        <v>1048</v>
      </c>
      <c r="K136" s="2">
        <v>45045</v>
      </c>
      <c r="L136" s="2" t="str">
        <f t="shared" si="29"/>
        <v>April</v>
      </c>
      <c r="M136" s="1" t="s">
        <v>1049</v>
      </c>
      <c r="N136" s="1" t="s">
        <v>50</v>
      </c>
      <c r="O136" s="1">
        <v>202.54</v>
      </c>
      <c r="P136" s="1">
        <v>5</v>
      </c>
      <c r="Q136" s="1">
        <f t="shared" si="30"/>
        <v>1012.6999999999999</v>
      </c>
      <c r="R136" s="1" t="s">
        <v>51</v>
      </c>
      <c r="S136" s="1">
        <f t="shared" si="31"/>
        <v>151.90499999999997</v>
      </c>
      <c r="T136" s="1">
        <f t="shared" si="32"/>
        <v>860.79499999999996</v>
      </c>
      <c r="U136" s="1">
        <v>1</v>
      </c>
      <c r="V136" s="1">
        <f t="shared" si="33"/>
        <v>907.79499999999996</v>
      </c>
      <c r="W136" s="1">
        <v>47</v>
      </c>
      <c r="X136" s="2">
        <v>45051</v>
      </c>
      <c r="Y136" s="1" t="s">
        <v>1050</v>
      </c>
      <c r="Z136" s="1">
        <f t="shared" si="34"/>
        <v>1059.6999999999998</v>
      </c>
      <c r="AA136" s="1">
        <f t="shared" si="35"/>
        <v>6</v>
      </c>
      <c r="AB136" s="1" t="str">
        <f t="shared" si="36"/>
        <v>Late</v>
      </c>
      <c r="AC136" s="1">
        <f t="shared" si="37"/>
        <v>1012.6999999999999</v>
      </c>
      <c r="AD136" s="7">
        <f t="shared" si="38"/>
        <v>0.15</v>
      </c>
      <c r="AE136" s="1">
        <f t="shared" si="39"/>
        <v>151.90499999999997</v>
      </c>
      <c r="AF136" s="1">
        <f t="shared" si="40"/>
        <v>198.90499999999997</v>
      </c>
    </row>
    <row r="137" spans="1:32" ht="14.25" customHeight="1" x14ac:dyDescent="0.3">
      <c r="A137" s="1" t="s">
        <v>1730</v>
      </c>
      <c r="B137" s="1" t="s">
        <v>1731</v>
      </c>
      <c r="C137" s="1" t="s">
        <v>1732</v>
      </c>
      <c r="D137" s="1" t="str">
        <f t="shared" si="28"/>
        <v>Regina Hawkins</v>
      </c>
      <c r="E137" s="1">
        <v>47</v>
      </c>
      <c r="F137" s="1" t="s">
        <v>34</v>
      </c>
      <c r="G137" s="1" t="s">
        <v>23</v>
      </c>
      <c r="H137" s="1" t="s">
        <v>1733</v>
      </c>
      <c r="I137" s="1" t="s">
        <v>1734</v>
      </c>
      <c r="J137" s="1" t="s">
        <v>1778</v>
      </c>
      <c r="K137" s="2">
        <v>45216</v>
      </c>
      <c r="L137" s="2" t="str">
        <f t="shared" si="29"/>
        <v>October</v>
      </c>
      <c r="M137" s="1" t="s">
        <v>1779</v>
      </c>
      <c r="N137" s="1" t="s">
        <v>50</v>
      </c>
      <c r="O137" s="1">
        <v>202.54</v>
      </c>
      <c r="P137" s="1">
        <v>5</v>
      </c>
      <c r="Q137" s="1">
        <f t="shared" si="30"/>
        <v>1012.6999999999999</v>
      </c>
      <c r="R137" s="1" t="s">
        <v>89</v>
      </c>
      <c r="S137" s="1">
        <f t="shared" si="31"/>
        <v>101.27</v>
      </c>
      <c r="T137" s="1">
        <f t="shared" si="32"/>
        <v>911.43</v>
      </c>
      <c r="U137" s="1">
        <v>4</v>
      </c>
      <c r="V137" s="1">
        <f t="shared" si="33"/>
        <v>969.43</v>
      </c>
      <c r="W137" s="1">
        <v>58</v>
      </c>
      <c r="X137" s="2">
        <v>45218</v>
      </c>
      <c r="Y137" s="1" t="s">
        <v>1780</v>
      </c>
      <c r="Z137" s="1">
        <f t="shared" si="34"/>
        <v>1070.6999999999998</v>
      </c>
      <c r="AA137" s="1">
        <f t="shared" si="35"/>
        <v>2</v>
      </c>
      <c r="AB137" s="1" t="str">
        <f t="shared" si="36"/>
        <v>BeforeTime</v>
      </c>
      <c r="AC137" s="1">
        <f t="shared" si="37"/>
        <v>1012.6999999999999</v>
      </c>
      <c r="AD137" s="7">
        <f t="shared" si="38"/>
        <v>0.1</v>
      </c>
      <c r="AE137" s="1">
        <f t="shared" si="39"/>
        <v>101.27</v>
      </c>
      <c r="AF137" s="1">
        <f t="shared" si="40"/>
        <v>159.26999999999998</v>
      </c>
    </row>
    <row r="138" spans="1:32" ht="14.25" customHeight="1" x14ac:dyDescent="0.3">
      <c r="A138" s="1" t="s">
        <v>528</v>
      </c>
      <c r="B138" s="1" t="s">
        <v>529</v>
      </c>
      <c r="C138" s="1" t="s">
        <v>530</v>
      </c>
      <c r="D138" s="1" t="str">
        <f t="shared" si="28"/>
        <v>Brandon Cruz</v>
      </c>
      <c r="E138" s="1">
        <v>32</v>
      </c>
      <c r="F138" s="1" t="s">
        <v>45</v>
      </c>
      <c r="G138" s="1" t="s">
        <v>83</v>
      </c>
      <c r="H138" s="1" t="s">
        <v>531</v>
      </c>
      <c r="I138" s="1" t="s">
        <v>532</v>
      </c>
      <c r="J138" s="1" t="s">
        <v>533</v>
      </c>
      <c r="K138" s="2">
        <v>45586</v>
      </c>
      <c r="L138" s="2" t="str">
        <f t="shared" si="29"/>
        <v>October</v>
      </c>
      <c r="M138" s="1" t="s">
        <v>534</v>
      </c>
      <c r="N138" s="1" t="s">
        <v>349</v>
      </c>
      <c r="O138" s="1">
        <v>496.59</v>
      </c>
      <c r="P138" s="1">
        <v>2</v>
      </c>
      <c r="Q138" s="1">
        <f t="shared" si="30"/>
        <v>993.18</v>
      </c>
      <c r="R138" s="1" t="s">
        <v>29</v>
      </c>
      <c r="S138" s="1">
        <f t="shared" si="31"/>
        <v>79.454399999999993</v>
      </c>
      <c r="T138" s="1">
        <f t="shared" si="32"/>
        <v>913.72559999999999</v>
      </c>
      <c r="U138" s="1">
        <v>5</v>
      </c>
      <c r="V138" s="1">
        <f t="shared" si="33"/>
        <v>954.72559999999999</v>
      </c>
      <c r="W138" s="1">
        <v>41</v>
      </c>
      <c r="X138" s="2">
        <v>45588</v>
      </c>
      <c r="Y138" s="1" t="s">
        <v>535</v>
      </c>
      <c r="Z138" s="1">
        <f t="shared" si="34"/>
        <v>1034.1799999999998</v>
      </c>
      <c r="AA138" s="1">
        <f t="shared" si="35"/>
        <v>2</v>
      </c>
      <c r="AB138" s="1" t="str">
        <f t="shared" si="36"/>
        <v>BeforeTime</v>
      </c>
      <c r="AC138" s="1">
        <f t="shared" si="37"/>
        <v>993.18</v>
      </c>
      <c r="AD138" s="7">
        <f t="shared" si="38"/>
        <v>0.08</v>
      </c>
      <c r="AE138" s="1">
        <f t="shared" si="39"/>
        <v>79.454399999999993</v>
      </c>
      <c r="AF138" s="1">
        <f t="shared" si="40"/>
        <v>120.45439999999999</v>
      </c>
    </row>
    <row r="139" spans="1:32" ht="14.25" customHeight="1" x14ac:dyDescent="0.3">
      <c r="A139" s="1" t="s">
        <v>493</v>
      </c>
      <c r="B139" s="1" t="s">
        <v>494</v>
      </c>
      <c r="C139" s="1" t="s">
        <v>380</v>
      </c>
      <c r="D139" s="1" t="str">
        <f t="shared" si="28"/>
        <v>Sharon Thompson</v>
      </c>
      <c r="E139" s="1">
        <v>57</v>
      </c>
      <c r="F139" s="1" t="s">
        <v>34</v>
      </c>
      <c r="G139" s="1" t="s">
        <v>213</v>
      </c>
      <c r="H139" s="1" t="s">
        <v>495</v>
      </c>
      <c r="I139" s="1" t="s">
        <v>496</v>
      </c>
      <c r="J139" s="1" t="s">
        <v>609</v>
      </c>
      <c r="K139" s="2">
        <v>45595</v>
      </c>
      <c r="L139" s="2" t="str">
        <f t="shared" si="29"/>
        <v>October</v>
      </c>
      <c r="M139" s="1" t="s">
        <v>610</v>
      </c>
      <c r="N139" s="1" t="s">
        <v>349</v>
      </c>
      <c r="O139" s="1">
        <v>496.59</v>
      </c>
      <c r="P139" s="1">
        <v>2</v>
      </c>
      <c r="Q139" s="1">
        <f t="shared" si="30"/>
        <v>993.18</v>
      </c>
      <c r="R139" s="1" t="s">
        <v>89</v>
      </c>
      <c r="S139" s="1">
        <f t="shared" si="31"/>
        <v>99.317999999999998</v>
      </c>
      <c r="T139" s="1">
        <f t="shared" si="32"/>
        <v>893.86199999999997</v>
      </c>
      <c r="U139" s="1">
        <v>1</v>
      </c>
      <c r="V139" s="1">
        <f t="shared" si="33"/>
        <v>939.86199999999997</v>
      </c>
      <c r="W139" s="1">
        <v>46</v>
      </c>
      <c r="X139" s="2">
        <v>45598</v>
      </c>
      <c r="Y139" s="1" t="s">
        <v>611</v>
      </c>
      <c r="Z139" s="1">
        <f t="shared" si="34"/>
        <v>1039.1799999999998</v>
      </c>
      <c r="AA139" s="1">
        <f t="shared" si="35"/>
        <v>3</v>
      </c>
      <c r="AB139" s="1" t="str">
        <f t="shared" si="36"/>
        <v>Late</v>
      </c>
      <c r="AC139" s="1">
        <f t="shared" si="37"/>
        <v>993.18</v>
      </c>
      <c r="AD139" s="7">
        <f t="shared" si="38"/>
        <v>0.1</v>
      </c>
      <c r="AE139" s="1">
        <f t="shared" si="39"/>
        <v>99.317999999999998</v>
      </c>
      <c r="AF139" s="1">
        <f t="shared" si="40"/>
        <v>145.31799999999998</v>
      </c>
    </row>
    <row r="140" spans="1:32" ht="14.25" customHeight="1" x14ac:dyDescent="0.3">
      <c r="A140" s="1" t="s">
        <v>639</v>
      </c>
      <c r="B140" s="1" t="s">
        <v>640</v>
      </c>
      <c r="C140" s="1" t="s">
        <v>641</v>
      </c>
      <c r="D140" s="1" t="str">
        <f t="shared" si="28"/>
        <v>Beth Mason</v>
      </c>
      <c r="E140" s="1">
        <v>45</v>
      </c>
      <c r="F140" s="1" t="s">
        <v>45</v>
      </c>
      <c r="G140" s="1" t="s">
        <v>83</v>
      </c>
      <c r="H140" s="1" t="s">
        <v>642</v>
      </c>
      <c r="I140" s="1" t="s">
        <v>643</v>
      </c>
      <c r="J140" s="1" t="s">
        <v>733</v>
      </c>
      <c r="K140" s="2">
        <v>45665</v>
      </c>
      <c r="L140" s="2" t="str">
        <f t="shared" si="29"/>
        <v>January</v>
      </c>
      <c r="M140" s="1" t="s">
        <v>734</v>
      </c>
      <c r="N140" s="1" t="s">
        <v>349</v>
      </c>
      <c r="O140" s="1">
        <v>496.59</v>
      </c>
      <c r="P140" s="1">
        <v>2</v>
      </c>
      <c r="Q140" s="1">
        <f t="shared" si="30"/>
        <v>993.18</v>
      </c>
      <c r="R140" s="1" t="s">
        <v>56</v>
      </c>
      <c r="S140" s="1">
        <f t="shared" si="31"/>
        <v>0</v>
      </c>
      <c r="T140" s="1">
        <f t="shared" si="32"/>
        <v>993.18</v>
      </c>
      <c r="U140" s="1">
        <v>5</v>
      </c>
      <c r="V140" s="1">
        <f t="shared" si="33"/>
        <v>1033.1799999999998</v>
      </c>
      <c r="W140" s="1">
        <v>40</v>
      </c>
      <c r="X140" s="2">
        <v>45667</v>
      </c>
      <c r="Y140" s="1" t="s">
        <v>735</v>
      </c>
      <c r="Z140" s="1">
        <f t="shared" si="34"/>
        <v>1033.1799999999998</v>
      </c>
      <c r="AA140" s="1">
        <f t="shared" si="35"/>
        <v>2</v>
      </c>
      <c r="AB140" s="1" t="str">
        <f t="shared" si="36"/>
        <v>BeforeTime</v>
      </c>
      <c r="AC140" s="1">
        <f t="shared" si="37"/>
        <v>993.18</v>
      </c>
      <c r="AD140" s="7">
        <f t="shared" si="38"/>
        <v>0</v>
      </c>
      <c r="AE140" s="1">
        <f t="shared" si="39"/>
        <v>0</v>
      </c>
      <c r="AF140" s="1">
        <f t="shared" si="40"/>
        <v>0</v>
      </c>
    </row>
    <row r="141" spans="1:32" ht="14.25" customHeight="1" x14ac:dyDescent="0.3">
      <c r="A141" s="1" t="s">
        <v>468</v>
      </c>
      <c r="B141" s="1" t="s">
        <v>101</v>
      </c>
      <c r="C141" s="1" t="s">
        <v>469</v>
      </c>
      <c r="D141" s="1" t="str">
        <f t="shared" si="28"/>
        <v>Debra Hayes</v>
      </c>
      <c r="E141" s="1">
        <v>33</v>
      </c>
      <c r="F141" s="1" t="s">
        <v>22</v>
      </c>
      <c r="G141" s="1" t="s">
        <v>161</v>
      </c>
      <c r="H141" s="1" t="s">
        <v>470</v>
      </c>
      <c r="I141" s="1" t="s">
        <v>471</v>
      </c>
      <c r="J141" s="1" t="s">
        <v>897</v>
      </c>
      <c r="K141" s="2">
        <v>45330</v>
      </c>
      <c r="L141" s="2" t="str">
        <f t="shared" si="29"/>
        <v>February</v>
      </c>
      <c r="M141" s="1" t="s">
        <v>898</v>
      </c>
      <c r="N141" s="1" t="s">
        <v>349</v>
      </c>
      <c r="O141" s="1">
        <v>496.59</v>
      </c>
      <c r="P141" s="1">
        <v>2</v>
      </c>
      <c r="Q141" s="1">
        <f t="shared" si="30"/>
        <v>993.18</v>
      </c>
      <c r="R141" s="1" t="s">
        <v>89</v>
      </c>
      <c r="S141" s="1">
        <f t="shared" si="31"/>
        <v>99.317999999999998</v>
      </c>
      <c r="T141" s="1">
        <f t="shared" si="32"/>
        <v>893.86199999999997</v>
      </c>
      <c r="U141" s="1">
        <v>5</v>
      </c>
      <c r="V141" s="1">
        <f t="shared" si="33"/>
        <v>933.86199999999997</v>
      </c>
      <c r="W141" s="1">
        <v>40</v>
      </c>
      <c r="X141" s="2">
        <v>45331</v>
      </c>
      <c r="Y141" s="1" t="s">
        <v>899</v>
      </c>
      <c r="Z141" s="1">
        <f t="shared" si="34"/>
        <v>1033.1799999999998</v>
      </c>
      <c r="AA141" s="1">
        <f t="shared" si="35"/>
        <v>1</v>
      </c>
      <c r="AB141" s="1" t="str">
        <f t="shared" si="36"/>
        <v>BeforeTime</v>
      </c>
      <c r="AC141" s="1">
        <f t="shared" si="37"/>
        <v>993.18</v>
      </c>
      <c r="AD141" s="7">
        <f t="shared" si="38"/>
        <v>0.1</v>
      </c>
      <c r="AE141" s="1">
        <f t="shared" si="39"/>
        <v>99.317999999999998</v>
      </c>
      <c r="AF141" s="1">
        <f t="shared" si="40"/>
        <v>139.31799999999998</v>
      </c>
    </row>
    <row r="142" spans="1:32" ht="14.25" customHeight="1" x14ac:dyDescent="0.3">
      <c r="A142" s="1" t="s">
        <v>1161</v>
      </c>
      <c r="B142" s="1" t="s">
        <v>1162</v>
      </c>
      <c r="C142" s="1" t="s">
        <v>1163</v>
      </c>
      <c r="D142" s="1" t="str">
        <f t="shared" si="28"/>
        <v>Mike Carter</v>
      </c>
      <c r="E142" s="1">
        <v>59</v>
      </c>
      <c r="F142" s="1" t="s">
        <v>45</v>
      </c>
      <c r="G142" s="1" t="s">
        <v>161</v>
      </c>
      <c r="H142" s="1" t="s">
        <v>1164</v>
      </c>
      <c r="I142" s="1" t="s">
        <v>1165</v>
      </c>
      <c r="J142" s="1" t="s">
        <v>1390</v>
      </c>
      <c r="K142" s="2">
        <v>45527</v>
      </c>
      <c r="L142" s="2" t="str">
        <f t="shared" si="29"/>
        <v>August</v>
      </c>
      <c r="M142" s="1" t="s">
        <v>1391</v>
      </c>
      <c r="N142" s="1" t="s">
        <v>349</v>
      </c>
      <c r="O142" s="1">
        <v>496.59</v>
      </c>
      <c r="P142" s="1">
        <v>2</v>
      </c>
      <c r="Q142" s="1">
        <f t="shared" si="30"/>
        <v>993.18</v>
      </c>
      <c r="R142" s="1" t="s">
        <v>29</v>
      </c>
      <c r="S142" s="1">
        <f t="shared" si="31"/>
        <v>79.454399999999993</v>
      </c>
      <c r="T142" s="1">
        <f t="shared" si="32"/>
        <v>913.72559999999999</v>
      </c>
      <c r="U142" s="1">
        <v>3</v>
      </c>
      <c r="V142" s="1">
        <f t="shared" si="33"/>
        <v>968.72559999999999</v>
      </c>
      <c r="W142" s="1">
        <v>55</v>
      </c>
      <c r="X142" s="2">
        <v>45528</v>
      </c>
      <c r="Y142" s="1" t="s">
        <v>1392</v>
      </c>
      <c r="Z142" s="1">
        <f t="shared" si="34"/>
        <v>1048.1799999999998</v>
      </c>
      <c r="AA142" s="1">
        <f t="shared" si="35"/>
        <v>1</v>
      </c>
      <c r="AB142" s="1" t="str">
        <f t="shared" si="36"/>
        <v>BeforeTime</v>
      </c>
      <c r="AC142" s="1">
        <f t="shared" si="37"/>
        <v>993.18</v>
      </c>
      <c r="AD142" s="7">
        <f t="shared" si="38"/>
        <v>0.08</v>
      </c>
      <c r="AE142" s="1">
        <f t="shared" si="39"/>
        <v>79.454399999999993</v>
      </c>
      <c r="AF142" s="1">
        <f t="shared" si="40"/>
        <v>134.45439999999999</v>
      </c>
    </row>
    <row r="143" spans="1:32" ht="14.25" customHeight="1" x14ac:dyDescent="0.3">
      <c r="A143" s="1" t="s">
        <v>220</v>
      </c>
      <c r="B143" s="1" t="s">
        <v>221</v>
      </c>
      <c r="C143" s="1" t="s">
        <v>222</v>
      </c>
      <c r="D143" s="1" t="str">
        <f t="shared" si="28"/>
        <v>John Herrera</v>
      </c>
      <c r="E143" s="1">
        <v>64</v>
      </c>
      <c r="F143" s="1" t="s">
        <v>34</v>
      </c>
      <c r="G143" s="1" t="s">
        <v>35</v>
      </c>
      <c r="H143" s="1" t="s">
        <v>223</v>
      </c>
      <c r="I143" s="1" t="s">
        <v>224</v>
      </c>
      <c r="J143" s="1" t="s">
        <v>655</v>
      </c>
      <c r="K143" s="2">
        <v>45183</v>
      </c>
      <c r="L143" s="2" t="str">
        <f t="shared" si="29"/>
        <v>September</v>
      </c>
      <c r="M143" s="1" t="s">
        <v>656</v>
      </c>
      <c r="N143" s="1" t="s">
        <v>74</v>
      </c>
      <c r="O143" s="1">
        <v>330.11</v>
      </c>
      <c r="P143" s="1">
        <v>3</v>
      </c>
      <c r="Q143" s="1">
        <f t="shared" si="30"/>
        <v>990.33</v>
      </c>
      <c r="R143" s="1" t="s">
        <v>51</v>
      </c>
      <c r="S143" s="1">
        <f t="shared" si="31"/>
        <v>148.54949999999999</v>
      </c>
      <c r="T143" s="1">
        <f t="shared" si="32"/>
        <v>841.78050000000007</v>
      </c>
      <c r="U143" s="1">
        <v>3</v>
      </c>
      <c r="V143" s="1">
        <f t="shared" si="33"/>
        <v>906.78050000000007</v>
      </c>
      <c r="W143" s="1">
        <v>65</v>
      </c>
      <c r="X143" s="2">
        <v>45186</v>
      </c>
      <c r="Y143" s="1" t="s">
        <v>657</v>
      </c>
      <c r="Z143" s="1">
        <f t="shared" si="34"/>
        <v>1055.33</v>
      </c>
      <c r="AA143" s="1">
        <f t="shared" si="35"/>
        <v>3</v>
      </c>
      <c r="AB143" s="1" t="str">
        <f t="shared" si="36"/>
        <v>Intime</v>
      </c>
      <c r="AC143" s="1">
        <f t="shared" si="37"/>
        <v>990.33</v>
      </c>
      <c r="AD143" s="7">
        <f t="shared" si="38"/>
        <v>0.15</v>
      </c>
      <c r="AE143" s="1">
        <f t="shared" si="39"/>
        <v>148.54949999999999</v>
      </c>
      <c r="AF143" s="1">
        <f t="shared" si="40"/>
        <v>213.54949999999999</v>
      </c>
    </row>
    <row r="144" spans="1:32" ht="14.25" customHeight="1" x14ac:dyDescent="0.3">
      <c r="A144" s="1" t="s">
        <v>1072</v>
      </c>
      <c r="B144" s="1" t="s">
        <v>211</v>
      </c>
      <c r="C144" s="1" t="s">
        <v>1073</v>
      </c>
      <c r="D144" s="1" t="str">
        <f t="shared" si="28"/>
        <v>Mark Summers</v>
      </c>
      <c r="E144" s="1">
        <v>55</v>
      </c>
      <c r="F144" s="1" t="s">
        <v>34</v>
      </c>
      <c r="G144" s="1" t="s">
        <v>152</v>
      </c>
      <c r="H144" s="1" t="s">
        <v>1074</v>
      </c>
      <c r="I144" s="1" t="s">
        <v>1075</v>
      </c>
      <c r="J144" s="1" t="s">
        <v>1134</v>
      </c>
      <c r="K144" s="2">
        <v>45186</v>
      </c>
      <c r="L144" s="2" t="str">
        <f t="shared" si="29"/>
        <v>September</v>
      </c>
      <c r="M144" s="1" t="s">
        <v>1135</v>
      </c>
      <c r="N144" s="1" t="s">
        <v>74</v>
      </c>
      <c r="O144" s="1">
        <v>330.11</v>
      </c>
      <c r="P144" s="1">
        <v>3</v>
      </c>
      <c r="Q144" s="1">
        <f t="shared" si="30"/>
        <v>990.33</v>
      </c>
      <c r="R144" s="1" t="s">
        <v>29</v>
      </c>
      <c r="S144" s="1">
        <f t="shared" si="31"/>
        <v>79.226399999999998</v>
      </c>
      <c r="T144" s="1">
        <f t="shared" si="32"/>
        <v>911.10360000000003</v>
      </c>
      <c r="U144" s="1">
        <v>2</v>
      </c>
      <c r="V144" s="1">
        <f t="shared" si="33"/>
        <v>951.10360000000003</v>
      </c>
      <c r="W144" s="1">
        <v>40</v>
      </c>
      <c r="X144" s="2">
        <v>45191</v>
      </c>
      <c r="Y144" s="1" t="s">
        <v>1136</v>
      </c>
      <c r="Z144" s="1">
        <f t="shared" si="34"/>
        <v>1030.33</v>
      </c>
      <c r="AA144" s="1">
        <f t="shared" si="35"/>
        <v>5</v>
      </c>
      <c r="AB144" s="1" t="str">
        <f t="shared" si="36"/>
        <v>Late</v>
      </c>
      <c r="AC144" s="1">
        <f t="shared" si="37"/>
        <v>990.33</v>
      </c>
      <c r="AD144" s="7">
        <f t="shared" si="38"/>
        <v>0.08</v>
      </c>
      <c r="AE144" s="1">
        <f t="shared" si="39"/>
        <v>79.226399999999998</v>
      </c>
      <c r="AF144" s="1">
        <f t="shared" si="40"/>
        <v>119.2264</v>
      </c>
    </row>
    <row r="145" spans="1:32" ht="14.25" customHeight="1" x14ac:dyDescent="0.3">
      <c r="A145" s="1" t="s">
        <v>918</v>
      </c>
      <c r="B145" s="1" t="s">
        <v>919</v>
      </c>
      <c r="C145" s="1" t="s">
        <v>920</v>
      </c>
      <c r="D145" s="1" t="str">
        <f t="shared" si="28"/>
        <v>Rachael Robinson</v>
      </c>
      <c r="E145" s="1">
        <v>24</v>
      </c>
      <c r="F145" s="1" t="s">
        <v>45</v>
      </c>
      <c r="G145" s="1" t="s">
        <v>213</v>
      </c>
      <c r="H145" s="1" t="s">
        <v>921</v>
      </c>
      <c r="I145" s="1" t="s">
        <v>922</v>
      </c>
      <c r="J145" s="1" t="s">
        <v>1650</v>
      </c>
      <c r="K145" s="2">
        <v>45113</v>
      </c>
      <c r="L145" s="2" t="str">
        <f t="shared" si="29"/>
        <v>July</v>
      </c>
      <c r="M145" s="1" t="s">
        <v>1651</v>
      </c>
      <c r="N145" s="1" t="s">
        <v>74</v>
      </c>
      <c r="O145" s="1">
        <v>330.11</v>
      </c>
      <c r="P145" s="1">
        <v>3</v>
      </c>
      <c r="Q145" s="1">
        <f t="shared" si="30"/>
        <v>990.33</v>
      </c>
      <c r="R145" s="1" t="s">
        <v>51</v>
      </c>
      <c r="S145" s="1">
        <f t="shared" si="31"/>
        <v>148.54949999999999</v>
      </c>
      <c r="T145" s="1">
        <f t="shared" si="32"/>
        <v>841.78050000000007</v>
      </c>
      <c r="U145" s="1">
        <v>2</v>
      </c>
      <c r="V145" s="1">
        <f t="shared" si="33"/>
        <v>897.78050000000007</v>
      </c>
      <c r="W145" s="1">
        <v>56</v>
      </c>
      <c r="X145" s="2">
        <v>45117</v>
      </c>
      <c r="Y145" s="1" t="s">
        <v>1652</v>
      </c>
      <c r="Z145" s="1">
        <f t="shared" si="34"/>
        <v>1046.33</v>
      </c>
      <c r="AA145" s="1">
        <f t="shared" si="35"/>
        <v>4</v>
      </c>
      <c r="AB145" s="1" t="str">
        <f t="shared" si="36"/>
        <v>Late</v>
      </c>
      <c r="AC145" s="1">
        <f t="shared" si="37"/>
        <v>990.33</v>
      </c>
      <c r="AD145" s="7">
        <f t="shared" si="38"/>
        <v>0.15</v>
      </c>
      <c r="AE145" s="1">
        <f t="shared" si="39"/>
        <v>148.54949999999999</v>
      </c>
      <c r="AF145" s="1">
        <f t="shared" si="40"/>
        <v>204.54949999999999</v>
      </c>
    </row>
    <row r="146" spans="1:32" ht="14.25" customHeight="1" x14ac:dyDescent="0.3">
      <c r="A146" s="1" t="s">
        <v>31</v>
      </c>
      <c r="B146" s="1" t="s">
        <v>32</v>
      </c>
      <c r="C146" s="1" t="s">
        <v>33</v>
      </c>
      <c r="D146" s="1" t="str">
        <f t="shared" si="28"/>
        <v>Anthony Thomas</v>
      </c>
      <c r="E146" s="1">
        <v>53</v>
      </c>
      <c r="F146" s="1" t="s">
        <v>34</v>
      </c>
      <c r="G146" s="1" t="s">
        <v>35</v>
      </c>
      <c r="H146" s="1" t="s">
        <v>36</v>
      </c>
      <c r="I146" s="1" t="s">
        <v>37</v>
      </c>
      <c r="J146" s="1" t="s">
        <v>1893</v>
      </c>
      <c r="K146" s="2">
        <v>45076</v>
      </c>
      <c r="L146" s="2" t="str">
        <f t="shared" si="29"/>
        <v>May</v>
      </c>
      <c r="M146" s="1" t="s">
        <v>1894</v>
      </c>
      <c r="N146" s="1" t="s">
        <v>74</v>
      </c>
      <c r="O146" s="1">
        <v>330.11</v>
      </c>
      <c r="P146" s="1">
        <v>3</v>
      </c>
      <c r="Q146" s="1">
        <f t="shared" si="30"/>
        <v>990.33</v>
      </c>
      <c r="R146" s="1" t="s">
        <v>78</v>
      </c>
      <c r="S146" s="1">
        <f t="shared" si="31"/>
        <v>198.06600000000003</v>
      </c>
      <c r="T146" s="1">
        <f t="shared" si="32"/>
        <v>792.26400000000001</v>
      </c>
      <c r="U146" s="1">
        <v>7</v>
      </c>
      <c r="V146" s="1">
        <f t="shared" si="33"/>
        <v>832.26400000000001</v>
      </c>
      <c r="W146" s="1">
        <v>40</v>
      </c>
      <c r="X146" s="2">
        <v>45080</v>
      </c>
      <c r="Y146" s="1" t="s">
        <v>1895</v>
      </c>
      <c r="Z146" s="1">
        <f t="shared" si="34"/>
        <v>1030.33</v>
      </c>
      <c r="AA146" s="1">
        <f t="shared" si="35"/>
        <v>4</v>
      </c>
      <c r="AB146" s="1" t="str">
        <f t="shared" si="36"/>
        <v>BeforeTime</v>
      </c>
      <c r="AC146" s="1">
        <f t="shared" si="37"/>
        <v>990.33</v>
      </c>
      <c r="AD146" s="7">
        <f t="shared" si="38"/>
        <v>0.2</v>
      </c>
      <c r="AE146" s="1">
        <f t="shared" si="39"/>
        <v>198.06600000000003</v>
      </c>
      <c r="AF146" s="1">
        <f t="shared" si="40"/>
        <v>238.06600000000003</v>
      </c>
    </row>
    <row r="147" spans="1:32" ht="14.25" customHeight="1" x14ac:dyDescent="0.3">
      <c r="A147" s="1" t="s">
        <v>309</v>
      </c>
      <c r="B147" s="1" t="s">
        <v>310</v>
      </c>
      <c r="C147" s="1" t="s">
        <v>311</v>
      </c>
      <c r="D147" s="1" t="str">
        <f t="shared" si="28"/>
        <v>Jenny Estrada</v>
      </c>
      <c r="E147" s="1">
        <v>45</v>
      </c>
      <c r="F147" s="1" t="s">
        <v>22</v>
      </c>
      <c r="G147" s="1" t="s">
        <v>35</v>
      </c>
      <c r="H147" s="1" t="s">
        <v>312</v>
      </c>
      <c r="I147" s="1" t="s">
        <v>313</v>
      </c>
      <c r="J147" s="1" t="s">
        <v>314</v>
      </c>
      <c r="K147" s="2">
        <v>45193</v>
      </c>
      <c r="L147" s="2" t="str">
        <f t="shared" si="29"/>
        <v>September</v>
      </c>
      <c r="M147" s="1" t="s">
        <v>315</v>
      </c>
      <c r="N147" s="1" t="s">
        <v>316</v>
      </c>
      <c r="O147" s="1">
        <v>481.48</v>
      </c>
      <c r="P147" s="1">
        <v>2</v>
      </c>
      <c r="Q147" s="1">
        <f t="shared" si="30"/>
        <v>962.96</v>
      </c>
      <c r="R147" s="1" t="s">
        <v>51</v>
      </c>
      <c r="S147" s="1">
        <f t="shared" si="31"/>
        <v>144.44399999999999</v>
      </c>
      <c r="T147" s="1">
        <f t="shared" si="32"/>
        <v>818.51600000000008</v>
      </c>
      <c r="U147" s="1">
        <v>3</v>
      </c>
      <c r="V147" s="1">
        <f t="shared" si="33"/>
        <v>868.51600000000008</v>
      </c>
      <c r="W147" s="1">
        <v>50</v>
      </c>
      <c r="X147" s="2">
        <v>45196</v>
      </c>
      <c r="Y147" s="1" t="s">
        <v>317</v>
      </c>
      <c r="Z147" s="1">
        <f t="shared" si="34"/>
        <v>1012.96</v>
      </c>
      <c r="AA147" s="1">
        <f t="shared" si="35"/>
        <v>3</v>
      </c>
      <c r="AB147" s="1" t="str">
        <f t="shared" si="36"/>
        <v>Intime</v>
      </c>
      <c r="AC147" s="1">
        <f t="shared" si="37"/>
        <v>962.96</v>
      </c>
      <c r="AD147" s="7">
        <f t="shared" si="38"/>
        <v>0.15</v>
      </c>
      <c r="AE147" s="1">
        <f t="shared" si="39"/>
        <v>144.44399999999999</v>
      </c>
      <c r="AF147" s="1">
        <f t="shared" si="40"/>
        <v>194.44399999999999</v>
      </c>
    </row>
    <row r="148" spans="1:32" ht="14.25" customHeight="1" x14ac:dyDescent="0.3">
      <c r="A148" s="1" t="s">
        <v>709</v>
      </c>
      <c r="B148" s="1" t="s">
        <v>710</v>
      </c>
      <c r="C148" s="1" t="s">
        <v>711</v>
      </c>
      <c r="D148" s="1" t="str">
        <f t="shared" si="28"/>
        <v>Bruce Allen</v>
      </c>
      <c r="E148" s="1">
        <v>32</v>
      </c>
      <c r="F148" s="1" t="s">
        <v>34</v>
      </c>
      <c r="G148" s="1" t="s">
        <v>23</v>
      </c>
      <c r="H148" s="1" t="s">
        <v>712</v>
      </c>
      <c r="I148" s="1" t="s">
        <v>713</v>
      </c>
      <c r="J148" s="1" t="s">
        <v>1369</v>
      </c>
      <c r="K148" s="2">
        <v>45676</v>
      </c>
      <c r="L148" s="2" t="str">
        <f t="shared" si="29"/>
        <v>January</v>
      </c>
      <c r="M148" s="1" t="s">
        <v>1370</v>
      </c>
      <c r="N148" s="1" t="s">
        <v>316</v>
      </c>
      <c r="O148" s="1">
        <v>481.48</v>
      </c>
      <c r="P148" s="1">
        <v>2</v>
      </c>
      <c r="Q148" s="1">
        <f t="shared" si="30"/>
        <v>962.96</v>
      </c>
      <c r="R148" s="1" t="s">
        <v>78</v>
      </c>
      <c r="S148" s="1">
        <f t="shared" si="31"/>
        <v>192.59200000000001</v>
      </c>
      <c r="T148" s="1">
        <f t="shared" si="32"/>
        <v>770.36800000000005</v>
      </c>
      <c r="U148" s="1">
        <v>3</v>
      </c>
      <c r="V148" s="1">
        <f t="shared" si="33"/>
        <v>828.36800000000005</v>
      </c>
      <c r="W148" s="1">
        <v>58</v>
      </c>
      <c r="X148" s="2">
        <v>45683</v>
      </c>
      <c r="Y148" s="1" t="s">
        <v>1371</v>
      </c>
      <c r="Z148" s="1">
        <f t="shared" si="34"/>
        <v>1020.96</v>
      </c>
      <c r="AA148" s="1">
        <f t="shared" si="35"/>
        <v>7</v>
      </c>
      <c r="AB148" s="1" t="str">
        <f t="shared" si="36"/>
        <v>Late</v>
      </c>
      <c r="AC148" s="1">
        <f t="shared" si="37"/>
        <v>962.96</v>
      </c>
      <c r="AD148" s="7">
        <f t="shared" si="38"/>
        <v>0.2</v>
      </c>
      <c r="AE148" s="1">
        <f t="shared" si="39"/>
        <v>192.59200000000001</v>
      </c>
      <c r="AF148" s="1">
        <f t="shared" si="40"/>
        <v>250.59200000000001</v>
      </c>
    </row>
    <row r="149" spans="1:32" ht="14.25" customHeight="1" x14ac:dyDescent="0.3">
      <c r="A149" s="1" t="s">
        <v>130</v>
      </c>
      <c r="B149" s="1" t="s">
        <v>131</v>
      </c>
      <c r="C149" s="1" t="s">
        <v>132</v>
      </c>
      <c r="D149" s="1" t="str">
        <f t="shared" si="28"/>
        <v>Kara Brennan</v>
      </c>
      <c r="E149" s="1">
        <v>25</v>
      </c>
      <c r="F149" s="1" t="s">
        <v>45</v>
      </c>
      <c r="G149" s="1" t="s">
        <v>133</v>
      </c>
      <c r="H149" s="1" t="s">
        <v>134</v>
      </c>
      <c r="I149" s="1" t="s">
        <v>135</v>
      </c>
      <c r="J149" s="1" t="s">
        <v>1463</v>
      </c>
      <c r="K149" s="2">
        <v>45211</v>
      </c>
      <c r="L149" s="2" t="str">
        <f t="shared" si="29"/>
        <v>October</v>
      </c>
      <c r="M149" s="1" t="s">
        <v>1464</v>
      </c>
      <c r="N149" s="1" t="s">
        <v>316</v>
      </c>
      <c r="O149" s="1">
        <v>481.48</v>
      </c>
      <c r="P149" s="1">
        <v>2</v>
      </c>
      <c r="Q149" s="1">
        <f t="shared" si="30"/>
        <v>962.96</v>
      </c>
      <c r="R149" s="1" t="s">
        <v>89</v>
      </c>
      <c r="S149" s="1">
        <f t="shared" si="31"/>
        <v>96.296000000000006</v>
      </c>
      <c r="T149" s="1">
        <f t="shared" si="32"/>
        <v>866.66399999999999</v>
      </c>
      <c r="U149" s="1">
        <v>7</v>
      </c>
      <c r="V149" s="1">
        <f t="shared" si="33"/>
        <v>932.66399999999999</v>
      </c>
      <c r="W149" s="1">
        <v>66</v>
      </c>
      <c r="X149" s="2">
        <v>45218</v>
      </c>
      <c r="Y149" s="1" t="s">
        <v>1465</v>
      </c>
      <c r="Z149" s="1">
        <f t="shared" si="34"/>
        <v>1028.96</v>
      </c>
      <c r="AA149" s="1">
        <f t="shared" si="35"/>
        <v>7</v>
      </c>
      <c r="AB149" s="1" t="str">
        <f t="shared" si="36"/>
        <v>Intime</v>
      </c>
      <c r="AC149" s="1">
        <f t="shared" si="37"/>
        <v>962.96</v>
      </c>
      <c r="AD149" s="7">
        <f t="shared" si="38"/>
        <v>0.1</v>
      </c>
      <c r="AE149" s="1">
        <f t="shared" si="39"/>
        <v>96.296000000000006</v>
      </c>
      <c r="AF149" s="1">
        <f t="shared" si="40"/>
        <v>162.29599999999999</v>
      </c>
    </row>
    <row r="150" spans="1:32" ht="14.25" customHeight="1" x14ac:dyDescent="0.3">
      <c r="A150" s="1" t="s">
        <v>1730</v>
      </c>
      <c r="B150" s="1" t="s">
        <v>1731</v>
      </c>
      <c r="C150" s="1" t="s">
        <v>1732</v>
      </c>
      <c r="D150" s="1" t="str">
        <f t="shared" si="28"/>
        <v>Regina Hawkins</v>
      </c>
      <c r="E150" s="1">
        <v>47</v>
      </c>
      <c r="F150" s="1" t="s">
        <v>34</v>
      </c>
      <c r="G150" s="1" t="s">
        <v>23</v>
      </c>
      <c r="H150" s="1" t="s">
        <v>1733</v>
      </c>
      <c r="I150" s="1" t="s">
        <v>1734</v>
      </c>
      <c r="J150" s="1" t="s">
        <v>1922</v>
      </c>
      <c r="K150" s="2">
        <v>45015</v>
      </c>
      <c r="L150" s="2" t="str">
        <f t="shared" si="29"/>
        <v>March</v>
      </c>
      <c r="M150" s="1" t="s">
        <v>1923</v>
      </c>
      <c r="N150" s="1" t="s">
        <v>316</v>
      </c>
      <c r="O150" s="1">
        <v>481.48</v>
      </c>
      <c r="P150" s="1">
        <v>2</v>
      </c>
      <c r="Q150" s="1">
        <f t="shared" si="30"/>
        <v>962.96</v>
      </c>
      <c r="R150" s="1" t="s">
        <v>56</v>
      </c>
      <c r="S150" s="1">
        <f t="shared" si="31"/>
        <v>0</v>
      </c>
      <c r="T150" s="1">
        <f t="shared" si="32"/>
        <v>962.96</v>
      </c>
      <c r="U150" s="1">
        <v>5</v>
      </c>
      <c r="V150" s="1">
        <f t="shared" si="33"/>
        <v>1007.96</v>
      </c>
      <c r="W150" s="1">
        <v>45</v>
      </c>
      <c r="X150" s="2">
        <v>45017</v>
      </c>
      <c r="Y150" s="1" t="s">
        <v>1924</v>
      </c>
      <c r="Z150" s="1">
        <f t="shared" si="34"/>
        <v>1007.96</v>
      </c>
      <c r="AA150" s="1">
        <f t="shared" si="35"/>
        <v>2</v>
      </c>
      <c r="AB150" s="1" t="str">
        <f t="shared" si="36"/>
        <v>BeforeTime</v>
      </c>
      <c r="AC150" s="1">
        <f t="shared" si="37"/>
        <v>962.96</v>
      </c>
      <c r="AD150" s="7">
        <f t="shared" si="38"/>
        <v>0</v>
      </c>
      <c r="AE150" s="1">
        <f t="shared" si="39"/>
        <v>0</v>
      </c>
      <c r="AF150" s="1">
        <f t="shared" si="40"/>
        <v>0</v>
      </c>
    </row>
    <row r="151" spans="1:32" ht="14.25" customHeight="1" x14ac:dyDescent="0.3">
      <c r="A151" s="1" t="s">
        <v>378</v>
      </c>
      <c r="B151" s="1" t="s">
        <v>379</v>
      </c>
      <c r="C151" s="1" t="s">
        <v>380</v>
      </c>
      <c r="D151" s="1" t="str">
        <f t="shared" si="28"/>
        <v>Aaron Thompson</v>
      </c>
      <c r="E151" s="1">
        <v>47</v>
      </c>
      <c r="F151" s="1" t="s">
        <v>34</v>
      </c>
      <c r="G151" s="1" t="s">
        <v>83</v>
      </c>
      <c r="H151" s="1" t="s">
        <v>381</v>
      </c>
      <c r="I151" s="1" t="s">
        <v>382</v>
      </c>
      <c r="J151" s="1" t="s">
        <v>564</v>
      </c>
      <c r="K151" s="2">
        <v>45683</v>
      </c>
      <c r="L151" s="2" t="str">
        <f t="shared" si="29"/>
        <v>January</v>
      </c>
      <c r="M151" s="1" t="s">
        <v>565</v>
      </c>
      <c r="N151" s="1" t="s">
        <v>566</v>
      </c>
      <c r="O151" s="1">
        <v>477.52</v>
      </c>
      <c r="P151" s="1">
        <v>2</v>
      </c>
      <c r="Q151" s="1">
        <f t="shared" si="30"/>
        <v>955.04</v>
      </c>
      <c r="R151" s="1" t="s">
        <v>29</v>
      </c>
      <c r="S151" s="1">
        <f t="shared" si="31"/>
        <v>76.403199999999998</v>
      </c>
      <c r="T151" s="1">
        <f t="shared" si="32"/>
        <v>878.63679999999999</v>
      </c>
      <c r="U151" s="1">
        <v>6</v>
      </c>
      <c r="V151" s="1">
        <f t="shared" si="33"/>
        <v>933.63679999999999</v>
      </c>
      <c r="W151" s="1">
        <v>55</v>
      </c>
      <c r="X151" s="2">
        <v>45685</v>
      </c>
      <c r="Y151" s="1" t="s">
        <v>567</v>
      </c>
      <c r="Z151" s="1">
        <f t="shared" si="34"/>
        <v>1010.04</v>
      </c>
      <c r="AA151" s="1">
        <f t="shared" si="35"/>
        <v>2</v>
      </c>
      <c r="AB151" s="1" t="str">
        <f t="shared" si="36"/>
        <v>BeforeTime</v>
      </c>
      <c r="AC151" s="1">
        <f t="shared" si="37"/>
        <v>955.04</v>
      </c>
      <c r="AD151" s="7">
        <f t="shared" si="38"/>
        <v>0.08</v>
      </c>
      <c r="AE151" s="1">
        <f t="shared" si="39"/>
        <v>76.403199999999998</v>
      </c>
      <c r="AF151" s="1">
        <f t="shared" si="40"/>
        <v>131.4032</v>
      </c>
    </row>
    <row r="152" spans="1:32" ht="14.25" customHeight="1" x14ac:dyDescent="0.3">
      <c r="A152" s="1" t="s">
        <v>359</v>
      </c>
      <c r="B152" s="1" t="s">
        <v>360</v>
      </c>
      <c r="C152" s="1" t="s">
        <v>361</v>
      </c>
      <c r="D152" s="1" t="str">
        <f t="shared" si="28"/>
        <v>Timothy Hicks</v>
      </c>
      <c r="E152" s="1">
        <v>31</v>
      </c>
      <c r="F152" s="1" t="s">
        <v>45</v>
      </c>
      <c r="G152" s="1" t="s">
        <v>133</v>
      </c>
      <c r="H152" s="1" t="s">
        <v>362</v>
      </c>
      <c r="I152" s="1" t="s">
        <v>363</v>
      </c>
      <c r="J152" s="1" t="s">
        <v>364</v>
      </c>
      <c r="K152" s="2">
        <v>45336</v>
      </c>
      <c r="L152" s="2" t="str">
        <f t="shared" si="29"/>
        <v>February</v>
      </c>
      <c r="M152" s="1" t="s">
        <v>365</v>
      </c>
      <c r="N152" s="1" t="s">
        <v>138</v>
      </c>
      <c r="O152" s="1">
        <v>190.1</v>
      </c>
      <c r="P152" s="1">
        <v>5</v>
      </c>
      <c r="Q152" s="1">
        <f t="shared" si="30"/>
        <v>950.5</v>
      </c>
      <c r="R152" s="1" t="s">
        <v>29</v>
      </c>
      <c r="S152" s="1">
        <f t="shared" si="31"/>
        <v>76.040000000000006</v>
      </c>
      <c r="T152" s="1">
        <f t="shared" si="32"/>
        <v>874.46</v>
      </c>
      <c r="U152" s="1">
        <v>5</v>
      </c>
      <c r="V152" s="1">
        <f t="shared" si="33"/>
        <v>909.46</v>
      </c>
      <c r="W152" s="1">
        <v>35</v>
      </c>
      <c r="X152" s="2">
        <v>45341</v>
      </c>
      <c r="Y152" s="1" t="s">
        <v>366</v>
      </c>
      <c r="Z152" s="1">
        <f t="shared" si="34"/>
        <v>985.5</v>
      </c>
      <c r="AA152" s="1">
        <f t="shared" si="35"/>
        <v>5</v>
      </c>
      <c r="AB152" s="1" t="str">
        <f t="shared" si="36"/>
        <v>Intime</v>
      </c>
      <c r="AC152" s="1">
        <f t="shared" si="37"/>
        <v>950.5</v>
      </c>
      <c r="AD152" s="7">
        <f t="shared" si="38"/>
        <v>0.08</v>
      </c>
      <c r="AE152" s="1">
        <f t="shared" si="39"/>
        <v>76.040000000000006</v>
      </c>
      <c r="AF152" s="1">
        <f t="shared" si="40"/>
        <v>111.04</v>
      </c>
    </row>
    <row r="153" spans="1:32" ht="14.25" customHeight="1" x14ac:dyDescent="0.3">
      <c r="A153" s="1" t="s">
        <v>816</v>
      </c>
      <c r="B153" s="1" t="s">
        <v>817</v>
      </c>
      <c r="C153" s="1" t="s">
        <v>818</v>
      </c>
      <c r="D153" s="1" t="str">
        <f t="shared" si="28"/>
        <v>Edward Black</v>
      </c>
      <c r="E153" s="1">
        <v>42</v>
      </c>
      <c r="F153" s="1" t="s">
        <v>22</v>
      </c>
      <c r="G153" s="1" t="s">
        <v>69</v>
      </c>
      <c r="H153" s="1" t="s">
        <v>819</v>
      </c>
      <c r="I153" s="1" t="s">
        <v>820</v>
      </c>
      <c r="J153" s="1" t="s">
        <v>821</v>
      </c>
      <c r="K153" s="2">
        <v>44979</v>
      </c>
      <c r="L153" s="2" t="str">
        <f t="shared" si="29"/>
        <v>February</v>
      </c>
      <c r="M153" s="1" t="s">
        <v>822</v>
      </c>
      <c r="N153" s="1" t="s">
        <v>138</v>
      </c>
      <c r="O153" s="1">
        <v>190.1</v>
      </c>
      <c r="P153" s="1">
        <v>5</v>
      </c>
      <c r="Q153" s="1">
        <f t="shared" si="30"/>
        <v>950.5</v>
      </c>
      <c r="R153" s="1" t="s">
        <v>78</v>
      </c>
      <c r="S153" s="1">
        <f t="shared" si="31"/>
        <v>190.10000000000002</v>
      </c>
      <c r="T153" s="1">
        <f t="shared" si="32"/>
        <v>760.4</v>
      </c>
      <c r="U153" s="1">
        <v>4</v>
      </c>
      <c r="V153" s="1">
        <f t="shared" si="33"/>
        <v>797.4</v>
      </c>
      <c r="W153" s="1">
        <v>37</v>
      </c>
      <c r="X153" s="2">
        <v>44984</v>
      </c>
      <c r="Y153" s="1" t="s">
        <v>823</v>
      </c>
      <c r="Z153" s="1">
        <f t="shared" si="34"/>
        <v>987.5</v>
      </c>
      <c r="AA153" s="1">
        <f t="shared" si="35"/>
        <v>5</v>
      </c>
      <c r="AB153" s="1" t="str">
        <f t="shared" si="36"/>
        <v>Late</v>
      </c>
      <c r="AC153" s="1">
        <f t="shared" si="37"/>
        <v>950.5</v>
      </c>
      <c r="AD153" s="7">
        <f t="shared" si="38"/>
        <v>0.2</v>
      </c>
      <c r="AE153" s="1">
        <f t="shared" si="39"/>
        <v>190.10000000000002</v>
      </c>
      <c r="AF153" s="1">
        <f t="shared" si="40"/>
        <v>227.10000000000002</v>
      </c>
    </row>
    <row r="154" spans="1:32" ht="14.25" customHeight="1" x14ac:dyDescent="0.3">
      <c r="A154" s="1" t="s">
        <v>500</v>
      </c>
      <c r="B154" s="1" t="s">
        <v>501</v>
      </c>
      <c r="C154" s="1" t="s">
        <v>502</v>
      </c>
      <c r="D154" s="1" t="str">
        <f t="shared" si="28"/>
        <v>Sarah Butler</v>
      </c>
      <c r="E154" s="1">
        <v>64</v>
      </c>
      <c r="F154" s="1" t="s">
        <v>22</v>
      </c>
      <c r="G154" s="1" t="s">
        <v>23</v>
      </c>
      <c r="H154" s="1" t="s">
        <v>503</v>
      </c>
      <c r="I154" s="1" t="s">
        <v>504</v>
      </c>
      <c r="J154" s="1" t="s">
        <v>648</v>
      </c>
      <c r="K154" s="2">
        <v>45488</v>
      </c>
      <c r="L154" s="2" t="str">
        <f t="shared" si="29"/>
        <v>July</v>
      </c>
      <c r="M154" s="1" t="s">
        <v>649</v>
      </c>
      <c r="N154" s="1" t="s">
        <v>650</v>
      </c>
      <c r="O154" s="1">
        <v>235.63</v>
      </c>
      <c r="P154" s="1">
        <v>4</v>
      </c>
      <c r="Q154" s="1">
        <f t="shared" si="30"/>
        <v>942.52</v>
      </c>
      <c r="R154" s="1" t="s">
        <v>78</v>
      </c>
      <c r="S154" s="1">
        <f t="shared" si="31"/>
        <v>188.50400000000002</v>
      </c>
      <c r="T154" s="1">
        <f t="shared" si="32"/>
        <v>754.01599999999996</v>
      </c>
      <c r="U154" s="1">
        <v>2</v>
      </c>
      <c r="V154" s="1">
        <f t="shared" si="33"/>
        <v>814.01599999999996</v>
      </c>
      <c r="W154" s="1">
        <v>60</v>
      </c>
      <c r="X154" s="2">
        <v>45495</v>
      </c>
      <c r="Y154" s="1" t="s">
        <v>651</v>
      </c>
      <c r="Z154" s="1">
        <f t="shared" si="34"/>
        <v>1002.52</v>
      </c>
      <c r="AA154" s="1">
        <f t="shared" si="35"/>
        <v>7</v>
      </c>
      <c r="AB154" s="1" t="str">
        <f t="shared" si="36"/>
        <v>Late</v>
      </c>
      <c r="AC154" s="1">
        <f t="shared" si="37"/>
        <v>942.52</v>
      </c>
      <c r="AD154" s="7">
        <f t="shared" si="38"/>
        <v>0.2</v>
      </c>
      <c r="AE154" s="1">
        <f t="shared" si="39"/>
        <v>188.50400000000002</v>
      </c>
      <c r="AF154" s="1">
        <f t="shared" si="40"/>
        <v>248.50400000000002</v>
      </c>
    </row>
    <row r="155" spans="1:32" ht="14.25" customHeight="1" x14ac:dyDescent="0.3">
      <c r="A155" s="1" t="s">
        <v>194</v>
      </c>
      <c r="B155" s="1" t="s">
        <v>195</v>
      </c>
      <c r="C155" s="1" t="s">
        <v>196</v>
      </c>
      <c r="D155" s="1" t="str">
        <f t="shared" si="28"/>
        <v>Deborah Bates</v>
      </c>
      <c r="E155" s="1">
        <v>23</v>
      </c>
      <c r="F155" s="1" t="s">
        <v>22</v>
      </c>
      <c r="G155" s="1" t="s">
        <v>83</v>
      </c>
      <c r="H155" s="1" t="s">
        <v>197</v>
      </c>
      <c r="I155" s="1" t="s">
        <v>198</v>
      </c>
      <c r="J155" s="1" t="s">
        <v>199</v>
      </c>
      <c r="K155" s="2">
        <v>45520</v>
      </c>
      <c r="L155" s="2" t="str">
        <f t="shared" si="29"/>
        <v>August</v>
      </c>
      <c r="M155" s="1" t="s">
        <v>200</v>
      </c>
      <c r="N155" s="1" t="s">
        <v>28</v>
      </c>
      <c r="O155" s="1">
        <v>308.88</v>
      </c>
      <c r="P155" s="1">
        <v>3</v>
      </c>
      <c r="Q155" s="1">
        <f t="shared" si="30"/>
        <v>926.64</v>
      </c>
      <c r="R155" s="1" t="s">
        <v>89</v>
      </c>
      <c r="S155" s="1">
        <f t="shared" si="31"/>
        <v>92.664000000000001</v>
      </c>
      <c r="T155" s="1">
        <f t="shared" si="32"/>
        <v>833.976</v>
      </c>
      <c r="U155" s="1">
        <v>7</v>
      </c>
      <c r="V155" s="1">
        <f t="shared" si="33"/>
        <v>876.976</v>
      </c>
      <c r="W155" s="1">
        <v>43</v>
      </c>
      <c r="X155" s="2">
        <v>45521</v>
      </c>
      <c r="Y155" s="1" t="s">
        <v>201</v>
      </c>
      <c r="Z155" s="1">
        <f t="shared" si="34"/>
        <v>969.64</v>
      </c>
      <c r="AA155" s="1">
        <f t="shared" si="35"/>
        <v>1</v>
      </c>
      <c r="AB155" s="1" t="str">
        <f t="shared" si="36"/>
        <v>BeforeTime</v>
      </c>
      <c r="AC155" s="1">
        <f t="shared" si="37"/>
        <v>926.64</v>
      </c>
      <c r="AD155" s="7">
        <f t="shared" si="38"/>
        <v>0.1</v>
      </c>
      <c r="AE155" s="1">
        <f t="shared" si="39"/>
        <v>92.664000000000001</v>
      </c>
      <c r="AF155" s="1">
        <f t="shared" si="40"/>
        <v>135.66399999999999</v>
      </c>
    </row>
    <row r="156" spans="1:32" ht="14.25" customHeight="1" x14ac:dyDescent="0.3">
      <c r="A156" s="1" t="s">
        <v>468</v>
      </c>
      <c r="B156" s="1" t="s">
        <v>101</v>
      </c>
      <c r="C156" s="1" t="s">
        <v>469</v>
      </c>
      <c r="D156" s="1" t="str">
        <f t="shared" si="28"/>
        <v>Debra Hayes</v>
      </c>
      <c r="E156" s="1">
        <v>33</v>
      </c>
      <c r="F156" s="1" t="s">
        <v>22</v>
      </c>
      <c r="G156" s="1" t="s">
        <v>161</v>
      </c>
      <c r="H156" s="1" t="s">
        <v>470</v>
      </c>
      <c r="I156" s="1" t="s">
        <v>471</v>
      </c>
      <c r="J156" s="1" t="s">
        <v>578</v>
      </c>
      <c r="K156" s="2">
        <v>45675</v>
      </c>
      <c r="L156" s="2" t="str">
        <f t="shared" si="29"/>
        <v>January</v>
      </c>
      <c r="M156" s="1" t="s">
        <v>579</v>
      </c>
      <c r="N156" s="1" t="s">
        <v>28</v>
      </c>
      <c r="O156" s="1">
        <v>308.88</v>
      </c>
      <c r="P156" s="1">
        <v>3</v>
      </c>
      <c r="Q156" s="1">
        <f t="shared" si="30"/>
        <v>926.64</v>
      </c>
      <c r="R156" s="1" t="s">
        <v>51</v>
      </c>
      <c r="S156" s="1">
        <f t="shared" si="31"/>
        <v>138.99599999999998</v>
      </c>
      <c r="T156" s="1">
        <f t="shared" si="32"/>
        <v>787.64400000000001</v>
      </c>
      <c r="U156" s="1">
        <v>4</v>
      </c>
      <c r="V156" s="1">
        <f t="shared" si="33"/>
        <v>835.64400000000001</v>
      </c>
      <c r="W156" s="1">
        <v>48</v>
      </c>
      <c r="X156" s="2">
        <v>45678</v>
      </c>
      <c r="Y156" s="1" t="s">
        <v>580</v>
      </c>
      <c r="Z156" s="1">
        <f t="shared" si="34"/>
        <v>974.64</v>
      </c>
      <c r="AA156" s="1">
        <f t="shared" si="35"/>
        <v>3</v>
      </c>
      <c r="AB156" s="1" t="str">
        <f t="shared" si="36"/>
        <v>BeforeTime</v>
      </c>
      <c r="AC156" s="1">
        <f t="shared" si="37"/>
        <v>926.64</v>
      </c>
      <c r="AD156" s="7">
        <f t="shared" si="38"/>
        <v>0.15</v>
      </c>
      <c r="AE156" s="1">
        <f t="shared" si="39"/>
        <v>138.99599999999998</v>
      </c>
      <c r="AF156" s="1">
        <f t="shared" si="40"/>
        <v>186.99599999999998</v>
      </c>
    </row>
    <row r="157" spans="1:32" ht="14.25" customHeight="1" x14ac:dyDescent="0.3">
      <c r="A157" s="1" t="s">
        <v>318</v>
      </c>
      <c r="B157" s="1" t="s">
        <v>319</v>
      </c>
      <c r="C157" s="1" t="s">
        <v>320</v>
      </c>
      <c r="D157" s="1" t="str">
        <f t="shared" si="28"/>
        <v>Courtney Parker</v>
      </c>
      <c r="E157" s="1">
        <v>29</v>
      </c>
      <c r="F157" s="1" t="s">
        <v>45</v>
      </c>
      <c r="G157" s="1" t="s">
        <v>83</v>
      </c>
      <c r="H157" s="1" t="s">
        <v>321</v>
      </c>
      <c r="I157" s="1" t="s">
        <v>322</v>
      </c>
      <c r="J157" s="1" t="s">
        <v>2004</v>
      </c>
      <c r="K157" s="2">
        <v>45633</v>
      </c>
      <c r="L157" s="2" t="str">
        <f t="shared" si="29"/>
        <v>December</v>
      </c>
      <c r="M157" s="1" t="s">
        <v>2005</v>
      </c>
      <c r="N157" s="1" t="s">
        <v>28</v>
      </c>
      <c r="O157" s="1">
        <v>308.88</v>
      </c>
      <c r="P157" s="1">
        <v>3</v>
      </c>
      <c r="Q157" s="1">
        <f t="shared" si="30"/>
        <v>926.64</v>
      </c>
      <c r="R157" s="1" t="s">
        <v>78</v>
      </c>
      <c r="S157" s="1">
        <f t="shared" si="31"/>
        <v>185.328</v>
      </c>
      <c r="T157" s="1">
        <f t="shared" si="32"/>
        <v>741.31200000000001</v>
      </c>
      <c r="U157" s="1">
        <v>5</v>
      </c>
      <c r="V157" s="1">
        <f t="shared" si="33"/>
        <v>809.31200000000001</v>
      </c>
      <c r="W157" s="1">
        <v>68</v>
      </c>
      <c r="X157" s="2">
        <v>45636</v>
      </c>
      <c r="Y157" s="1" t="s">
        <v>2006</v>
      </c>
      <c r="Z157" s="1">
        <f t="shared" si="34"/>
        <v>994.64</v>
      </c>
      <c r="AA157" s="1">
        <f t="shared" si="35"/>
        <v>3</v>
      </c>
      <c r="AB157" s="1" t="str">
        <f t="shared" si="36"/>
        <v>BeforeTime</v>
      </c>
      <c r="AC157" s="1">
        <f t="shared" si="37"/>
        <v>926.64</v>
      </c>
      <c r="AD157" s="7">
        <f t="shared" si="38"/>
        <v>0.2</v>
      </c>
      <c r="AE157" s="1">
        <f t="shared" si="39"/>
        <v>185.328</v>
      </c>
      <c r="AF157" s="1">
        <f t="shared" si="40"/>
        <v>253.328</v>
      </c>
    </row>
    <row r="158" spans="1:32" ht="14.25" customHeight="1" x14ac:dyDescent="0.3">
      <c r="A158" s="1" t="s">
        <v>428</v>
      </c>
      <c r="B158" s="1" t="s">
        <v>429</v>
      </c>
      <c r="C158" s="1" t="s">
        <v>430</v>
      </c>
      <c r="D158" s="1" t="str">
        <f t="shared" si="28"/>
        <v>Mary Knight</v>
      </c>
      <c r="E158" s="1">
        <v>28</v>
      </c>
      <c r="F158" s="1" t="s">
        <v>45</v>
      </c>
      <c r="G158" s="1" t="s">
        <v>69</v>
      </c>
      <c r="H158" s="1" t="s">
        <v>431</v>
      </c>
      <c r="I158" s="1" t="s">
        <v>432</v>
      </c>
      <c r="J158" s="1" t="s">
        <v>1032</v>
      </c>
      <c r="K158" s="2">
        <v>45241</v>
      </c>
      <c r="L158" s="2" t="str">
        <f t="shared" si="29"/>
        <v>November</v>
      </c>
      <c r="M158" s="1" t="s">
        <v>1033</v>
      </c>
      <c r="N158" s="1" t="s">
        <v>630</v>
      </c>
      <c r="O158" s="1">
        <v>445.81</v>
      </c>
      <c r="P158" s="1">
        <v>2</v>
      </c>
      <c r="Q158" s="1">
        <f t="shared" si="30"/>
        <v>891.62</v>
      </c>
      <c r="R158" s="1" t="s">
        <v>56</v>
      </c>
      <c r="S158" s="1">
        <f t="shared" si="31"/>
        <v>0</v>
      </c>
      <c r="T158" s="1">
        <f t="shared" si="32"/>
        <v>891.62</v>
      </c>
      <c r="U158" s="1">
        <v>7</v>
      </c>
      <c r="V158" s="1">
        <f t="shared" si="33"/>
        <v>958.62</v>
      </c>
      <c r="W158" s="1">
        <v>67</v>
      </c>
      <c r="X158" s="2">
        <v>45242</v>
      </c>
      <c r="Y158" s="1" t="s">
        <v>1034</v>
      </c>
      <c r="Z158" s="1">
        <f t="shared" si="34"/>
        <v>958.62</v>
      </c>
      <c r="AA158" s="1">
        <f t="shared" si="35"/>
        <v>1</v>
      </c>
      <c r="AB158" s="1" t="str">
        <f t="shared" si="36"/>
        <v>BeforeTime</v>
      </c>
      <c r="AC158" s="1">
        <f t="shared" si="37"/>
        <v>891.62</v>
      </c>
      <c r="AD158" s="7">
        <f t="shared" si="38"/>
        <v>0</v>
      </c>
      <c r="AE158" s="1">
        <f t="shared" si="39"/>
        <v>0</v>
      </c>
      <c r="AF158" s="1">
        <f t="shared" si="40"/>
        <v>0</v>
      </c>
    </row>
    <row r="159" spans="1:32" ht="14.25" customHeight="1" x14ac:dyDescent="0.3">
      <c r="A159" s="1" t="s">
        <v>1899</v>
      </c>
      <c r="B159" s="1" t="s">
        <v>1900</v>
      </c>
      <c r="C159" s="1" t="s">
        <v>1901</v>
      </c>
      <c r="D159" s="1" t="str">
        <f t="shared" si="28"/>
        <v>Janice Gordon</v>
      </c>
      <c r="E159" s="1">
        <v>43</v>
      </c>
      <c r="F159" s="1" t="s">
        <v>22</v>
      </c>
      <c r="G159" s="1" t="s">
        <v>35</v>
      </c>
      <c r="H159" s="1" t="s">
        <v>1902</v>
      </c>
      <c r="I159" s="1" t="s">
        <v>1903</v>
      </c>
      <c r="J159" s="1" t="s">
        <v>1904</v>
      </c>
      <c r="K159" s="2">
        <v>45571</v>
      </c>
      <c r="L159" s="2" t="str">
        <f t="shared" si="29"/>
        <v>October</v>
      </c>
      <c r="M159" s="1" t="s">
        <v>1905</v>
      </c>
      <c r="N159" s="1" t="s">
        <v>630</v>
      </c>
      <c r="O159" s="1">
        <v>445.81</v>
      </c>
      <c r="P159" s="1">
        <v>2</v>
      </c>
      <c r="Q159" s="1">
        <f t="shared" si="30"/>
        <v>891.62</v>
      </c>
      <c r="R159" s="1" t="s">
        <v>51</v>
      </c>
      <c r="S159" s="1">
        <f t="shared" si="31"/>
        <v>133.74299999999999</v>
      </c>
      <c r="T159" s="1">
        <f t="shared" si="32"/>
        <v>757.87699999999995</v>
      </c>
      <c r="U159" s="1">
        <v>4</v>
      </c>
      <c r="V159" s="1">
        <f t="shared" si="33"/>
        <v>816.87699999999995</v>
      </c>
      <c r="W159" s="1">
        <v>59</v>
      </c>
      <c r="X159" s="2">
        <v>45576</v>
      </c>
      <c r="Y159" s="1" t="s">
        <v>1906</v>
      </c>
      <c r="Z159" s="1">
        <f t="shared" si="34"/>
        <v>950.62</v>
      </c>
      <c r="AA159" s="1">
        <f t="shared" si="35"/>
        <v>5</v>
      </c>
      <c r="AB159" s="1" t="str">
        <f t="shared" si="36"/>
        <v>Late</v>
      </c>
      <c r="AC159" s="1">
        <f t="shared" si="37"/>
        <v>891.62</v>
      </c>
      <c r="AD159" s="7">
        <f t="shared" si="38"/>
        <v>0.15</v>
      </c>
      <c r="AE159" s="1">
        <f t="shared" si="39"/>
        <v>133.74299999999999</v>
      </c>
      <c r="AF159" s="1">
        <f t="shared" si="40"/>
        <v>192.74299999999999</v>
      </c>
    </row>
    <row r="160" spans="1:32" ht="14.25" customHeight="1" x14ac:dyDescent="0.3">
      <c r="A160" s="1" t="s">
        <v>248</v>
      </c>
      <c r="B160" s="1" t="s">
        <v>249</v>
      </c>
      <c r="C160" s="1" t="s">
        <v>250</v>
      </c>
      <c r="D160" s="1" t="str">
        <f t="shared" si="28"/>
        <v>Ashley Rose</v>
      </c>
      <c r="E160" s="1">
        <v>60</v>
      </c>
      <c r="F160" s="1" t="s">
        <v>45</v>
      </c>
      <c r="G160" s="1" t="s">
        <v>23</v>
      </c>
      <c r="H160" s="1" t="s">
        <v>251</v>
      </c>
      <c r="I160" s="1" t="s">
        <v>252</v>
      </c>
      <c r="J160" s="1" t="s">
        <v>509</v>
      </c>
      <c r="K160" s="2">
        <v>45451</v>
      </c>
      <c r="L160" s="2" t="str">
        <f t="shared" si="29"/>
        <v>June</v>
      </c>
      <c r="M160" s="1" t="s">
        <v>510</v>
      </c>
      <c r="N160" s="1" t="s">
        <v>511</v>
      </c>
      <c r="O160" s="1">
        <v>441.03</v>
      </c>
      <c r="P160" s="1">
        <v>2</v>
      </c>
      <c r="Q160" s="1">
        <f t="shared" si="30"/>
        <v>882.06</v>
      </c>
      <c r="R160" s="1" t="s">
        <v>89</v>
      </c>
      <c r="S160" s="1">
        <f t="shared" si="31"/>
        <v>88.206000000000003</v>
      </c>
      <c r="T160" s="1">
        <f t="shared" si="32"/>
        <v>793.85399999999993</v>
      </c>
      <c r="U160" s="1">
        <v>3</v>
      </c>
      <c r="V160" s="1">
        <f t="shared" si="33"/>
        <v>842.85399999999993</v>
      </c>
      <c r="W160" s="1">
        <v>49</v>
      </c>
      <c r="X160" s="2">
        <v>45458</v>
      </c>
      <c r="Y160" s="1" t="s">
        <v>512</v>
      </c>
      <c r="Z160" s="1">
        <f t="shared" si="34"/>
        <v>931.06</v>
      </c>
      <c r="AA160" s="1">
        <f t="shared" si="35"/>
        <v>7</v>
      </c>
      <c r="AB160" s="1" t="str">
        <f t="shared" si="36"/>
        <v>Late</v>
      </c>
      <c r="AC160" s="1">
        <f t="shared" si="37"/>
        <v>882.06</v>
      </c>
      <c r="AD160" s="7">
        <f t="shared" si="38"/>
        <v>0.1</v>
      </c>
      <c r="AE160" s="1">
        <f t="shared" si="39"/>
        <v>88.206000000000003</v>
      </c>
      <c r="AF160" s="1">
        <f t="shared" si="40"/>
        <v>137.20600000000002</v>
      </c>
    </row>
    <row r="161" spans="1:32" ht="14.25" customHeight="1" x14ac:dyDescent="0.3">
      <c r="A161" s="1" t="s">
        <v>359</v>
      </c>
      <c r="B161" s="1" t="s">
        <v>360</v>
      </c>
      <c r="C161" s="1" t="s">
        <v>361</v>
      </c>
      <c r="D161" s="1" t="str">
        <f t="shared" si="28"/>
        <v>Timothy Hicks</v>
      </c>
      <c r="E161" s="1">
        <v>31</v>
      </c>
      <c r="F161" s="1" t="s">
        <v>45</v>
      </c>
      <c r="G161" s="1" t="s">
        <v>133</v>
      </c>
      <c r="H161" s="1" t="s">
        <v>362</v>
      </c>
      <c r="I161" s="1" t="s">
        <v>363</v>
      </c>
      <c r="J161" s="1" t="s">
        <v>1530</v>
      </c>
      <c r="K161" s="2">
        <v>45148</v>
      </c>
      <c r="L161" s="2" t="str">
        <f t="shared" si="29"/>
        <v>August</v>
      </c>
      <c r="M161" s="1" t="s">
        <v>1531</v>
      </c>
      <c r="N161" s="1" t="s">
        <v>511</v>
      </c>
      <c r="O161" s="1">
        <v>441.03</v>
      </c>
      <c r="P161" s="1">
        <v>2</v>
      </c>
      <c r="Q161" s="1">
        <f t="shared" si="30"/>
        <v>882.06</v>
      </c>
      <c r="R161" s="1" t="s">
        <v>29</v>
      </c>
      <c r="S161" s="1">
        <f t="shared" si="31"/>
        <v>70.564799999999991</v>
      </c>
      <c r="T161" s="1">
        <f t="shared" si="32"/>
        <v>811.49519999999995</v>
      </c>
      <c r="U161" s="1">
        <v>3</v>
      </c>
      <c r="V161" s="1">
        <f t="shared" si="33"/>
        <v>873.49519999999995</v>
      </c>
      <c r="W161" s="1">
        <v>62</v>
      </c>
      <c r="X161" s="2">
        <v>45151</v>
      </c>
      <c r="Y161" s="1" t="s">
        <v>1532</v>
      </c>
      <c r="Z161" s="1">
        <f t="shared" si="34"/>
        <v>944.06</v>
      </c>
      <c r="AA161" s="1">
        <f t="shared" si="35"/>
        <v>3</v>
      </c>
      <c r="AB161" s="1" t="str">
        <f t="shared" si="36"/>
        <v>Intime</v>
      </c>
      <c r="AC161" s="1">
        <f t="shared" si="37"/>
        <v>882.06</v>
      </c>
      <c r="AD161" s="7">
        <f t="shared" si="38"/>
        <v>0.08</v>
      </c>
      <c r="AE161" s="1">
        <f t="shared" si="39"/>
        <v>70.564799999999991</v>
      </c>
      <c r="AF161" s="1">
        <f t="shared" si="40"/>
        <v>132.56479999999999</v>
      </c>
    </row>
    <row r="162" spans="1:32" ht="14.25" customHeight="1" x14ac:dyDescent="0.3">
      <c r="A162" s="1" t="s">
        <v>1450</v>
      </c>
      <c r="B162" s="1" t="s">
        <v>266</v>
      </c>
      <c r="C162" s="1" t="s">
        <v>1451</v>
      </c>
      <c r="D162" s="1" t="str">
        <f t="shared" si="28"/>
        <v>Lauren Lane</v>
      </c>
      <c r="E162" s="1">
        <v>30</v>
      </c>
      <c r="F162" s="1" t="s">
        <v>22</v>
      </c>
      <c r="G162" s="1" t="s">
        <v>213</v>
      </c>
      <c r="H162" s="1" t="s">
        <v>1452</v>
      </c>
      <c r="I162" s="1" t="s">
        <v>1453</v>
      </c>
      <c r="J162" s="1" t="s">
        <v>1545</v>
      </c>
      <c r="K162" s="2">
        <v>45423</v>
      </c>
      <c r="L162" s="2" t="str">
        <f t="shared" si="29"/>
        <v>May</v>
      </c>
      <c r="M162" s="1" t="s">
        <v>1546</v>
      </c>
      <c r="N162" s="1" t="s">
        <v>511</v>
      </c>
      <c r="O162" s="1">
        <v>441.03</v>
      </c>
      <c r="P162" s="1">
        <v>2</v>
      </c>
      <c r="Q162" s="1">
        <f t="shared" si="30"/>
        <v>882.06</v>
      </c>
      <c r="R162" s="1" t="s">
        <v>56</v>
      </c>
      <c r="S162" s="1">
        <f t="shared" si="31"/>
        <v>0</v>
      </c>
      <c r="T162" s="1">
        <f t="shared" si="32"/>
        <v>882.06</v>
      </c>
      <c r="U162" s="1">
        <v>4</v>
      </c>
      <c r="V162" s="1">
        <f t="shared" si="33"/>
        <v>937.06</v>
      </c>
      <c r="W162" s="1">
        <v>55</v>
      </c>
      <c r="X162" s="2">
        <v>45429</v>
      </c>
      <c r="Y162" s="1" t="s">
        <v>1547</v>
      </c>
      <c r="Z162" s="1">
        <f t="shared" si="34"/>
        <v>937.06</v>
      </c>
      <c r="AA162" s="1">
        <f t="shared" si="35"/>
        <v>6</v>
      </c>
      <c r="AB162" s="1" t="str">
        <f t="shared" si="36"/>
        <v>Late</v>
      </c>
      <c r="AC162" s="1">
        <f t="shared" si="37"/>
        <v>882.06</v>
      </c>
      <c r="AD162" s="7">
        <f t="shared" si="38"/>
        <v>0</v>
      </c>
      <c r="AE162" s="1">
        <f t="shared" si="39"/>
        <v>0</v>
      </c>
      <c r="AF162" s="1">
        <f t="shared" si="40"/>
        <v>0</v>
      </c>
    </row>
    <row r="163" spans="1:32" ht="14.25" customHeight="1" x14ac:dyDescent="0.3">
      <c r="A163" s="1" t="s">
        <v>436</v>
      </c>
      <c r="B163" s="1" t="s">
        <v>92</v>
      </c>
      <c r="C163" s="1" t="s">
        <v>437</v>
      </c>
      <c r="D163" s="1" t="str">
        <f t="shared" si="28"/>
        <v>Marcus Rogers</v>
      </c>
      <c r="E163" s="1">
        <v>36</v>
      </c>
      <c r="F163" s="1" t="s">
        <v>34</v>
      </c>
      <c r="G163" s="1" t="s">
        <v>23</v>
      </c>
      <c r="H163" s="1" t="s">
        <v>438</v>
      </c>
      <c r="I163" s="1" t="s">
        <v>439</v>
      </c>
      <c r="J163" s="1" t="s">
        <v>1562</v>
      </c>
      <c r="K163" s="2">
        <v>45028</v>
      </c>
      <c r="L163" s="2" t="str">
        <f t="shared" si="29"/>
        <v>April</v>
      </c>
      <c r="M163" s="1" t="s">
        <v>1563</v>
      </c>
      <c r="N163" s="1" t="s">
        <v>511</v>
      </c>
      <c r="O163" s="1">
        <v>441.03</v>
      </c>
      <c r="P163" s="1">
        <v>2</v>
      </c>
      <c r="Q163" s="1">
        <f t="shared" si="30"/>
        <v>882.06</v>
      </c>
      <c r="R163" s="1" t="s">
        <v>89</v>
      </c>
      <c r="S163" s="1">
        <f t="shared" si="31"/>
        <v>88.206000000000003</v>
      </c>
      <c r="T163" s="1">
        <f t="shared" si="32"/>
        <v>793.85399999999993</v>
      </c>
      <c r="U163" s="1">
        <v>4</v>
      </c>
      <c r="V163" s="1">
        <f t="shared" si="33"/>
        <v>853.85399999999993</v>
      </c>
      <c r="W163" s="1">
        <v>60</v>
      </c>
      <c r="X163" s="2">
        <v>45033</v>
      </c>
      <c r="Y163" s="1" t="s">
        <v>1564</v>
      </c>
      <c r="Z163" s="1">
        <f t="shared" si="34"/>
        <v>942.06</v>
      </c>
      <c r="AA163" s="1">
        <f t="shared" si="35"/>
        <v>5</v>
      </c>
      <c r="AB163" s="1" t="str">
        <f t="shared" si="36"/>
        <v>Late</v>
      </c>
      <c r="AC163" s="1">
        <f t="shared" si="37"/>
        <v>882.06</v>
      </c>
      <c r="AD163" s="7">
        <f t="shared" si="38"/>
        <v>0.1</v>
      </c>
      <c r="AE163" s="1">
        <f t="shared" si="39"/>
        <v>88.206000000000003</v>
      </c>
      <c r="AF163" s="1">
        <f t="shared" si="40"/>
        <v>148.20600000000002</v>
      </c>
    </row>
    <row r="164" spans="1:32" ht="14.25" customHeight="1" x14ac:dyDescent="0.3">
      <c r="A164" s="1" t="s">
        <v>405</v>
      </c>
      <c r="B164" s="1" t="s">
        <v>221</v>
      </c>
      <c r="C164" s="1" t="s">
        <v>406</v>
      </c>
      <c r="D164" s="1" t="str">
        <f t="shared" si="28"/>
        <v>John Ramirez</v>
      </c>
      <c r="E164" s="1">
        <v>28</v>
      </c>
      <c r="F164" s="1" t="s">
        <v>45</v>
      </c>
      <c r="G164" s="1" t="s">
        <v>133</v>
      </c>
      <c r="H164" s="1" t="s">
        <v>407</v>
      </c>
      <c r="I164" s="1" t="s">
        <v>408</v>
      </c>
      <c r="J164" s="1" t="s">
        <v>692</v>
      </c>
      <c r="K164" s="2">
        <v>45113</v>
      </c>
      <c r="L164" s="2" t="str">
        <f t="shared" si="29"/>
        <v>July</v>
      </c>
      <c r="M164" s="1" t="s">
        <v>693</v>
      </c>
      <c r="N164" s="1" t="s">
        <v>147</v>
      </c>
      <c r="O164" s="1">
        <v>220.27</v>
      </c>
      <c r="P164" s="1">
        <v>4</v>
      </c>
      <c r="Q164" s="1">
        <f t="shared" si="30"/>
        <v>881.08</v>
      </c>
      <c r="R164" s="1" t="s">
        <v>78</v>
      </c>
      <c r="S164" s="1">
        <f t="shared" si="31"/>
        <v>176.21600000000001</v>
      </c>
      <c r="T164" s="1">
        <f t="shared" si="32"/>
        <v>704.86400000000003</v>
      </c>
      <c r="U164" s="1">
        <v>4</v>
      </c>
      <c r="V164" s="1">
        <f t="shared" si="33"/>
        <v>769.86400000000003</v>
      </c>
      <c r="W164" s="1">
        <v>65</v>
      </c>
      <c r="X164" s="2">
        <v>45117</v>
      </c>
      <c r="Y164" s="1" t="s">
        <v>694</v>
      </c>
      <c r="Z164" s="1">
        <f t="shared" si="34"/>
        <v>946.08</v>
      </c>
      <c r="AA164" s="1">
        <f t="shared" si="35"/>
        <v>4</v>
      </c>
      <c r="AB164" s="1" t="str">
        <f t="shared" si="36"/>
        <v>Intime</v>
      </c>
      <c r="AC164" s="1">
        <f t="shared" si="37"/>
        <v>881.08</v>
      </c>
      <c r="AD164" s="7">
        <f t="shared" si="38"/>
        <v>0.2</v>
      </c>
      <c r="AE164" s="1">
        <f t="shared" si="39"/>
        <v>176.21600000000001</v>
      </c>
      <c r="AF164" s="1">
        <f t="shared" si="40"/>
        <v>241.21600000000001</v>
      </c>
    </row>
    <row r="165" spans="1:32" ht="14.25" customHeight="1" x14ac:dyDescent="0.3">
      <c r="A165" s="1" t="s">
        <v>528</v>
      </c>
      <c r="B165" s="1" t="s">
        <v>529</v>
      </c>
      <c r="C165" s="1" t="s">
        <v>530</v>
      </c>
      <c r="D165" s="1" t="str">
        <f t="shared" si="28"/>
        <v>Brandon Cruz</v>
      </c>
      <c r="E165" s="1">
        <v>32</v>
      </c>
      <c r="F165" s="1" t="s">
        <v>45</v>
      </c>
      <c r="G165" s="1" t="s">
        <v>83</v>
      </c>
      <c r="H165" s="1" t="s">
        <v>531</v>
      </c>
      <c r="I165" s="1" t="s">
        <v>532</v>
      </c>
      <c r="J165" s="1" t="s">
        <v>751</v>
      </c>
      <c r="K165" s="2">
        <v>45131</v>
      </c>
      <c r="L165" s="2" t="str">
        <f t="shared" si="29"/>
        <v>July</v>
      </c>
      <c r="M165" s="1" t="s">
        <v>752</v>
      </c>
      <c r="N165" s="1" t="s">
        <v>128</v>
      </c>
      <c r="O165" s="1">
        <v>175.93</v>
      </c>
      <c r="P165" s="1">
        <v>5</v>
      </c>
      <c r="Q165" s="1">
        <f t="shared" si="30"/>
        <v>879.65000000000009</v>
      </c>
      <c r="R165" s="1" t="s">
        <v>56</v>
      </c>
      <c r="S165" s="1">
        <f t="shared" si="31"/>
        <v>0</v>
      </c>
      <c r="T165" s="1">
        <f t="shared" si="32"/>
        <v>879.65000000000009</v>
      </c>
      <c r="U165" s="1">
        <v>5</v>
      </c>
      <c r="V165" s="1">
        <f t="shared" si="33"/>
        <v>942.65000000000009</v>
      </c>
      <c r="W165" s="1">
        <v>63</v>
      </c>
      <c r="X165" s="2">
        <v>45138</v>
      </c>
      <c r="Y165" s="1" t="s">
        <v>753</v>
      </c>
      <c r="Z165" s="1">
        <f t="shared" si="34"/>
        <v>942.65000000000009</v>
      </c>
      <c r="AA165" s="1">
        <f t="shared" si="35"/>
        <v>7</v>
      </c>
      <c r="AB165" s="1" t="str">
        <f t="shared" si="36"/>
        <v>Late</v>
      </c>
      <c r="AC165" s="1">
        <f t="shared" si="37"/>
        <v>879.65000000000009</v>
      </c>
      <c r="AD165" s="7">
        <f t="shared" si="38"/>
        <v>0</v>
      </c>
      <c r="AE165" s="1">
        <f t="shared" si="39"/>
        <v>0</v>
      </c>
      <c r="AF165" s="1">
        <f t="shared" si="40"/>
        <v>0</v>
      </c>
    </row>
    <row r="166" spans="1:32" ht="14.25" customHeight="1" x14ac:dyDescent="0.3">
      <c r="A166" s="1" t="s">
        <v>194</v>
      </c>
      <c r="B166" s="1" t="s">
        <v>195</v>
      </c>
      <c r="C166" s="1" t="s">
        <v>196</v>
      </c>
      <c r="D166" s="1" t="str">
        <f t="shared" si="28"/>
        <v>Deborah Bates</v>
      </c>
      <c r="E166" s="1">
        <v>23</v>
      </c>
      <c r="F166" s="1" t="s">
        <v>22</v>
      </c>
      <c r="G166" s="1" t="s">
        <v>83</v>
      </c>
      <c r="H166" s="1" t="s">
        <v>197</v>
      </c>
      <c r="I166" s="1" t="s">
        <v>198</v>
      </c>
      <c r="J166" s="1" t="s">
        <v>1620</v>
      </c>
      <c r="K166" s="2">
        <v>45225</v>
      </c>
      <c r="L166" s="2" t="str">
        <f t="shared" si="29"/>
        <v>October</v>
      </c>
      <c r="M166" s="1" t="s">
        <v>1621</v>
      </c>
      <c r="N166" s="1" t="s">
        <v>864</v>
      </c>
      <c r="O166" s="1">
        <v>292.14999999999998</v>
      </c>
      <c r="P166" s="1">
        <v>3</v>
      </c>
      <c r="Q166" s="1">
        <f t="shared" si="30"/>
        <v>876.44999999999993</v>
      </c>
      <c r="R166" s="1" t="s">
        <v>56</v>
      </c>
      <c r="S166" s="1">
        <f t="shared" si="31"/>
        <v>0</v>
      </c>
      <c r="T166" s="1">
        <f t="shared" si="32"/>
        <v>876.44999999999993</v>
      </c>
      <c r="U166" s="1">
        <v>3</v>
      </c>
      <c r="V166" s="1">
        <f t="shared" si="33"/>
        <v>927.44999999999993</v>
      </c>
      <c r="W166" s="1">
        <v>51</v>
      </c>
      <c r="X166" s="2">
        <v>45227</v>
      </c>
      <c r="Y166" s="1" t="s">
        <v>1622</v>
      </c>
      <c r="Z166" s="1">
        <f t="shared" si="34"/>
        <v>927.44999999999993</v>
      </c>
      <c r="AA166" s="1">
        <f t="shared" si="35"/>
        <v>2</v>
      </c>
      <c r="AB166" s="1" t="str">
        <f t="shared" si="36"/>
        <v>BeforeTime</v>
      </c>
      <c r="AC166" s="1">
        <f t="shared" si="37"/>
        <v>876.44999999999993</v>
      </c>
      <c r="AD166" s="7">
        <f t="shared" si="38"/>
        <v>0</v>
      </c>
      <c r="AE166" s="1">
        <f t="shared" si="39"/>
        <v>0</v>
      </c>
      <c r="AF166" s="1">
        <f t="shared" si="40"/>
        <v>0</v>
      </c>
    </row>
    <row r="167" spans="1:32" ht="14.25" customHeight="1" x14ac:dyDescent="0.3">
      <c r="A167" s="1" t="s">
        <v>639</v>
      </c>
      <c r="B167" s="1" t="s">
        <v>640</v>
      </c>
      <c r="C167" s="1" t="s">
        <v>641</v>
      </c>
      <c r="D167" s="1" t="str">
        <f t="shared" si="28"/>
        <v>Beth Mason</v>
      </c>
      <c r="E167" s="1">
        <v>45</v>
      </c>
      <c r="F167" s="1" t="s">
        <v>45</v>
      </c>
      <c r="G167" s="1" t="s">
        <v>83</v>
      </c>
      <c r="H167" s="1" t="s">
        <v>642</v>
      </c>
      <c r="I167" s="1" t="s">
        <v>643</v>
      </c>
      <c r="J167" s="1" t="s">
        <v>644</v>
      </c>
      <c r="K167" s="2">
        <v>45504</v>
      </c>
      <c r="L167" s="2" t="str">
        <f t="shared" si="29"/>
        <v>July</v>
      </c>
      <c r="M167" s="1" t="s">
        <v>645</v>
      </c>
      <c r="N167" s="1" t="s">
        <v>646</v>
      </c>
      <c r="O167" s="1">
        <v>433.62</v>
      </c>
      <c r="P167" s="1">
        <v>2</v>
      </c>
      <c r="Q167" s="1">
        <f t="shared" si="30"/>
        <v>867.24</v>
      </c>
      <c r="R167" s="1" t="s">
        <v>78</v>
      </c>
      <c r="S167" s="1">
        <f t="shared" si="31"/>
        <v>173.44800000000001</v>
      </c>
      <c r="T167" s="1">
        <f t="shared" si="32"/>
        <v>693.79200000000003</v>
      </c>
      <c r="U167" s="1">
        <v>1</v>
      </c>
      <c r="V167" s="1">
        <f t="shared" si="33"/>
        <v>734.79200000000003</v>
      </c>
      <c r="W167" s="1">
        <v>41</v>
      </c>
      <c r="X167" s="2">
        <v>45510</v>
      </c>
      <c r="Y167" s="1" t="s">
        <v>647</v>
      </c>
      <c r="Z167" s="1">
        <f t="shared" si="34"/>
        <v>908.24</v>
      </c>
      <c r="AA167" s="1">
        <f t="shared" si="35"/>
        <v>6</v>
      </c>
      <c r="AB167" s="1" t="str">
        <f t="shared" si="36"/>
        <v>Late</v>
      </c>
      <c r="AC167" s="1">
        <f t="shared" si="37"/>
        <v>867.24</v>
      </c>
      <c r="AD167" s="7">
        <f t="shared" si="38"/>
        <v>0.2</v>
      </c>
      <c r="AE167" s="1">
        <f t="shared" si="39"/>
        <v>173.44800000000001</v>
      </c>
      <c r="AF167" s="1">
        <f t="shared" si="40"/>
        <v>214.44800000000001</v>
      </c>
    </row>
    <row r="168" spans="1:32" ht="14.25" customHeight="1" x14ac:dyDescent="0.3">
      <c r="A168" s="1" t="s">
        <v>1203</v>
      </c>
      <c r="B168" s="1" t="s">
        <v>1204</v>
      </c>
      <c r="C168" s="1" t="s">
        <v>1205</v>
      </c>
      <c r="D168" s="1" t="str">
        <f t="shared" si="28"/>
        <v>Brendan Kelly</v>
      </c>
      <c r="E168" s="1">
        <v>50</v>
      </c>
      <c r="F168" s="1" t="s">
        <v>45</v>
      </c>
      <c r="G168" s="1" t="s">
        <v>161</v>
      </c>
      <c r="H168" s="1" t="s">
        <v>1206</v>
      </c>
      <c r="I168" s="1" t="s">
        <v>1207</v>
      </c>
      <c r="J168" s="1" t="s">
        <v>1565</v>
      </c>
      <c r="K168" s="2">
        <v>45183</v>
      </c>
      <c r="L168" s="2" t="str">
        <f t="shared" si="29"/>
        <v>September</v>
      </c>
      <c r="M168" s="1" t="s">
        <v>1566</v>
      </c>
      <c r="N168" s="1" t="s">
        <v>646</v>
      </c>
      <c r="O168" s="1">
        <v>433.62</v>
      </c>
      <c r="P168" s="1">
        <v>2</v>
      </c>
      <c r="Q168" s="1">
        <f t="shared" si="30"/>
        <v>867.24</v>
      </c>
      <c r="R168" s="1" t="s">
        <v>56</v>
      </c>
      <c r="S168" s="1">
        <f t="shared" si="31"/>
        <v>0</v>
      </c>
      <c r="T168" s="1">
        <f t="shared" si="32"/>
        <v>867.24</v>
      </c>
      <c r="U168" s="1">
        <v>1</v>
      </c>
      <c r="V168" s="1">
        <f t="shared" si="33"/>
        <v>913.24</v>
      </c>
      <c r="W168" s="1">
        <v>46</v>
      </c>
      <c r="X168" s="2">
        <v>45186</v>
      </c>
      <c r="Y168" s="1" t="s">
        <v>1567</v>
      </c>
      <c r="Z168" s="1">
        <f t="shared" si="34"/>
        <v>913.24</v>
      </c>
      <c r="AA168" s="1">
        <f t="shared" si="35"/>
        <v>3</v>
      </c>
      <c r="AB168" s="1" t="str">
        <f t="shared" si="36"/>
        <v>Late</v>
      </c>
      <c r="AC168" s="1">
        <f t="shared" si="37"/>
        <v>867.24</v>
      </c>
      <c r="AD168" s="7">
        <f t="shared" si="38"/>
        <v>0</v>
      </c>
      <c r="AE168" s="1">
        <f t="shared" si="39"/>
        <v>0</v>
      </c>
      <c r="AF168" s="1">
        <f t="shared" si="40"/>
        <v>0</v>
      </c>
    </row>
    <row r="169" spans="1:32" ht="14.25" customHeight="1" x14ac:dyDescent="0.3">
      <c r="A169" s="1" t="s">
        <v>585</v>
      </c>
      <c r="B169" s="1" t="s">
        <v>586</v>
      </c>
      <c r="C169" s="1" t="s">
        <v>587</v>
      </c>
      <c r="D169" s="1" t="str">
        <f t="shared" si="28"/>
        <v>William Mann</v>
      </c>
      <c r="E169" s="1">
        <v>21</v>
      </c>
      <c r="F169" s="1" t="s">
        <v>22</v>
      </c>
      <c r="G169" s="1" t="s">
        <v>35</v>
      </c>
      <c r="H169" s="1" t="s">
        <v>588</v>
      </c>
      <c r="I169" s="1" t="s">
        <v>589</v>
      </c>
      <c r="J169" s="1" t="s">
        <v>1887</v>
      </c>
      <c r="K169" s="2">
        <v>45638</v>
      </c>
      <c r="L169" s="2" t="str">
        <f t="shared" si="29"/>
        <v>December</v>
      </c>
      <c r="M169" s="1" t="s">
        <v>1888</v>
      </c>
      <c r="N169" s="1" t="s">
        <v>646</v>
      </c>
      <c r="O169" s="1">
        <v>433.62</v>
      </c>
      <c r="P169" s="1">
        <v>2</v>
      </c>
      <c r="Q169" s="1">
        <f t="shared" si="30"/>
        <v>867.24</v>
      </c>
      <c r="R169" s="1" t="s">
        <v>89</v>
      </c>
      <c r="S169" s="1">
        <f t="shared" si="31"/>
        <v>86.724000000000004</v>
      </c>
      <c r="T169" s="1">
        <f t="shared" si="32"/>
        <v>780.51599999999996</v>
      </c>
      <c r="U169" s="1">
        <v>7</v>
      </c>
      <c r="V169" s="1">
        <f t="shared" si="33"/>
        <v>819.51599999999996</v>
      </c>
      <c r="W169" s="1">
        <v>39</v>
      </c>
      <c r="X169" s="2">
        <v>45644</v>
      </c>
      <c r="Y169" s="1" t="s">
        <v>1889</v>
      </c>
      <c r="Z169" s="1">
        <f t="shared" si="34"/>
        <v>906.24</v>
      </c>
      <c r="AA169" s="1">
        <f t="shared" si="35"/>
        <v>6</v>
      </c>
      <c r="AB169" s="1" t="str">
        <f t="shared" si="36"/>
        <v>BeforeTime</v>
      </c>
      <c r="AC169" s="1">
        <f t="shared" si="37"/>
        <v>867.24</v>
      </c>
      <c r="AD169" s="7">
        <f t="shared" si="38"/>
        <v>0.1</v>
      </c>
      <c r="AE169" s="1">
        <f t="shared" si="39"/>
        <v>86.724000000000004</v>
      </c>
      <c r="AF169" s="1">
        <f t="shared" si="40"/>
        <v>125.724</v>
      </c>
    </row>
    <row r="170" spans="1:32" ht="14.25" customHeight="1" x14ac:dyDescent="0.3">
      <c r="A170" s="1" t="s">
        <v>210</v>
      </c>
      <c r="B170" s="1" t="s">
        <v>211</v>
      </c>
      <c r="C170" s="1" t="s">
        <v>212</v>
      </c>
      <c r="D170" s="1" t="str">
        <f t="shared" si="28"/>
        <v>Mark Henderson</v>
      </c>
      <c r="E170" s="1">
        <v>33</v>
      </c>
      <c r="F170" s="1" t="s">
        <v>45</v>
      </c>
      <c r="G170" s="1" t="s">
        <v>213</v>
      </c>
      <c r="H170" s="1" t="s">
        <v>214</v>
      </c>
      <c r="I170" s="1" t="s">
        <v>215</v>
      </c>
      <c r="J170" s="1" t="s">
        <v>2034</v>
      </c>
      <c r="K170" s="2">
        <v>45032</v>
      </c>
      <c r="L170" s="2" t="str">
        <f t="shared" si="29"/>
        <v>April</v>
      </c>
      <c r="M170" s="1" t="s">
        <v>2035</v>
      </c>
      <c r="N170" s="1" t="s">
        <v>646</v>
      </c>
      <c r="O170" s="1">
        <v>433.62</v>
      </c>
      <c r="P170" s="1">
        <v>2</v>
      </c>
      <c r="Q170" s="1">
        <f t="shared" si="30"/>
        <v>867.24</v>
      </c>
      <c r="R170" s="1" t="s">
        <v>29</v>
      </c>
      <c r="S170" s="1">
        <f t="shared" si="31"/>
        <v>69.379199999999997</v>
      </c>
      <c r="T170" s="1">
        <f t="shared" si="32"/>
        <v>797.86080000000004</v>
      </c>
      <c r="U170" s="1">
        <v>7</v>
      </c>
      <c r="V170" s="1">
        <f t="shared" si="33"/>
        <v>853.86080000000004</v>
      </c>
      <c r="W170" s="1">
        <v>56</v>
      </c>
      <c r="X170" s="2">
        <v>45039</v>
      </c>
      <c r="Y170" s="1" t="s">
        <v>2036</v>
      </c>
      <c r="Z170" s="1">
        <f t="shared" si="34"/>
        <v>923.24</v>
      </c>
      <c r="AA170" s="1">
        <f t="shared" si="35"/>
        <v>7</v>
      </c>
      <c r="AB170" s="1" t="str">
        <f t="shared" si="36"/>
        <v>Intime</v>
      </c>
      <c r="AC170" s="1">
        <f t="shared" si="37"/>
        <v>867.24</v>
      </c>
      <c r="AD170" s="7">
        <f t="shared" si="38"/>
        <v>0.08</v>
      </c>
      <c r="AE170" s="1">
        <f t="shared" si="39"/>
        <v>69.379199999999997</v>
      </c>
      <c r="AF170" s="1">
        <f t="shared" si="40"/>
        <v>125.3792</v>
      </c>
    </row>
    <row r="171" spans="1:32" ht="14.25" customHeight="1" x14ac:dyDescent="0.3">
      <c r="A171" s="1" t="s">
        <v>459</v>
      </c>
      <c r="B171" s="1" t="s">
        <v>460</v>
      </c>
      <c r="C171" s="1" t="s">
        <v>461</v>
      </c>
      <c r="D171" s="1" t="str">
        <f t="shared" si="28"/>
        <v>Lori Cook</v>
      </c>
      <c r="E171" s="1">
        <v>18</v>
      </c>
      <c r="F171" s="1" t="s">
        <v>34</v>
      </c>
      <c r="G171" s="1" t="s">
        <v>35</v>
      </c>
      <c r="H171" s="1" t="s">
        <v>462</v>
      </c>
      <c r="I171" s="1" t="s">
        <v>463</v>
      </c>
      <c r="J171" s="1" t="s">
        <v>464</v>
      </c>
      <c r="K171" s="2">
        <v>44972</v>
      </c>
      <c r="L171" s="2" t="str">
        <f t="shared" si="29"/>
        <v>February</v>
      </c>
      <c r="M171" s="1" t="s">
        <v>465</v>
      </c>
      <c r="N171" s="1" t="s">
        <v>466</v>
      </c>
      <c r="O171" s="1">
        <v>286.07</v>
      </c>
      <c r="P171" s="1">
        <v>3</v>
      </c>
      <c r="Q171" s="1">
        <f t="shared" si="30"/>
        <v>858.21</v>
      </c>
      <c r="R171" s="1" t="s">
        <v>78</v>
      </c>
      <c r="S171" s="1">
        <f t="shared" si="31"/>
        <v>171.64200000000002</v>
      </c>
      <c r="T171" s="1">
        <f t="shared" si="32"/>
        <v>686.56799999999998</v>
      </c>
      <c r="U171" s="1">
        <v>2</v>
      </c>
      <c r="V171" s="1">
        <f t="shared" si="33"/>
        <v>740.56799999999998</v>
      </c>
      <c r="W171" s="1">
        <v>54</v>
      </c>
      <c r="X171" s="2">
        <v>44977</v>
      </c>
      <c r="Y171" s="1" t="s">
        <v>467</v>
      </c>
      <c r="Z171" s="1">
        <f t="shared" si="34"/>
        <v>912.21</v>
      </c>
      <c r="AA171" s="1">
        <f t="shared" si="35"/>
        <v>5</v>
      </c>
      <c r="AB171" s="1" t="str">
        <f t="shared" si="36"/>
        <v>Late</v>
      </c>
      <c r="AC171" s="1">
        <f t="shared" si="37"/>
        <v>858.21</v>
      </c>
      <c r="AD171" s="7">
        <f t="shared" si="38"/>
        <v>0.2</v>
      </c>
      <c r="AE171" s="1">
        <f t="shared" si="39"/>
        <v>171.64200000000002</v>
      </c>
      <c r="AF171" s="1">
        <f t="shared" si="40"/>
        <v>225.64200000000002</v>
      </c>
    </row>
    <row r="172" spans="1:32" ht="14.25" customHeight="1" x14ac:dyDescent="0.3">
      <c r="A172" s="1" t="s">
        <v>1335</v>
      </c>
      <c r="B172" s="1" t="s">
        <v>501</v>
      </c>
      <c r="C172" s="1" t="s">
        <v>1336</v>
      </c>
      <c r="D172" s="1" t="str">
        <f t="shared" si="28"/>
        <v>Sarah Benson</v>
      </c>
      <c r="E172" s="1">
        <v>40</v>
      </c>
      <c r="F172" s="1" t="s">
        <v>45</v>
      </c>
      <c r="G172" s="1" t="s">
        <v>213</v>
      </c>
      <c r="H172" s="1" t="s">
        <v>1337</v>
      </c>
      <c r="I172" s="1" t="s">
        <v>1338</v>
      </c>
      <c r="J172" s="1" t="s">
        <v>1339</v>
      </c>
      <c r="K172" s="2">
        <v>45422</v>
      </c>
      <c r="L172" s="2" t="str">
        <f t="shared" si="29"/>
        <v>May</v>
      </c>
      <c r="M172" s="1" t="s">
        <v>1340</v>
      </c>
      <c r="N172" s="1" t="s">
        <v>546</v>
      </c>
      <c r="O172" s="1">
        <v>425.59</v>
      </c>
      <c r="P172" s="1">
        <v>2</v>
      </c>
      <c r="Q172" s="1">
        <f t="shared" si="30"/>
        <v>851.18</v>
      </c>
      <c r="R172" s="1" t="s">
        <v>29</v>
      </c>
      <c r="S172" s="1">
        <f t="shared" si="31"/>
        <v>68.094399999999993</v>
      </c>
      <c r="T172" s="1">
        <f t="shared" si="32"/>
        <v>783.0856</v>
      </c>
      <c r="U172" s="1">
        <v>3</v>
      </c>
      <c r="V172" s="1">
        <f t="shared" si="33"/>
        <v>830.0856</v>
      </c>
      <c r="W172" s="1">
        <v>47</v>
      </c>
      <c r="X172" s="2">
        <v>45423</v>
      </c>
      <c r="Y172" s="1" t="s">
        <v>1341</v>
      </c>
      <c r="Z172" s="1">
        <f t="shared" si="34"/>
        <v>898.18</v>
      </c>
      <c r="AA172" s="1">
        <f t="shared" si="35"/>
        <v>1</v>
      </c>
      <c r="AB172" s="1" t="str">
        <f t="shared" si="36"/>
        <v>BeforeTime</v>
      </c>
      <c r="AC172" s="1">
        <f t="shared" si="37"/>
        <v>851.18</v>
      </c>
      <c r="AD172" s="7">
        <f t="shared" si="38"/>
        <v>0.08</v>
      </c>
      <c r="AE172" s="1">
        <f t="shared" si="39"/>
        <v>68.094399999999993</v>
      </c>
      <c r="AF172" s="1">
        <f t="shared" si="40"/>
        <v>115.09439999999999</v>
      </c>
    </row>
    <row r="173" spans="1:32" ht="14.25" customHeight="1" x14ac:dyDescent="0.3">
      <c r="A173" s="1" t="s">
        <v>672</v>
      </c>
      <c r="B173" s="1" t="s">
        <v>673</v>
      </c>
      <c r="C173" s="1" t="s">
        <v>674</v>
      </c>
      <c r="D173" s="1" t="str">
        <f t="shared" si="28"/>
        <v>Troy Gomez</v>
      </c>
      <c r="E173" s="1">
        <v>68</v>
      </c>
      <c r="F173" s="1" t="s">
        <v>22</v>
      </c>
      <c r="G173" s="1" t="s">
        <v>213</v>
      </c>
      <c r="H173" s="1" t="s">
        <v>675</v>
      </c>
      <c r="I173" s="1" t="s">
        <v>676</v>
      </c>
      <c r="J173" s="1" t="s">
        <v>1438</v>
      </c>
      <c r="K173" s="2">
        <v>44973</v>
      </c>
      <c r="L173" s="2" t="str">
        <f t="shared" si="29"/>
        <v>February</v>
      </c>
      <c r="M173" s="1" t="s">
        <v>1439</v>
      </c>
      <c r="N173" s="1" t="s">
        <v>546</v>
      </c>
      <c r="O173" s="1">
        <v>425.59</v>
      </c>
      <c r="P173" s="1">
        <v>2</v>
      </c>
      <c r="Q173" s="1">
        <f t="shared" si="30"/>
        <v>851.18</v>
      </c>
      <c r="R173" s="1" t="s">
        <v>56</v>
      </c>
      <c r="S173" s="1">
        <f t="shared" si="31"/>
        <v>0</v>
      </c>
      <c r="T173" s="1">
        <f t="shared" si="32"/>
        <v>851.18</v>
      </c>
      <c r="U173" s="1">
        <v>2</v>
      </c>
      <c r="V173" s="1">
        <f t="shared" si="33"/>
        <v>918.18</v>
      </c>
      <c r="W173" s="1">
        <v>67</v>
      </c>
      <c r="X173" s="2">
        <v>44977</v>
      </c>
      <c r="Y173" s="1" t="s">
        <v>1440</v>
      </c>
      <c r="Z173" s="1">
        <f t="shared" si="34"/>
        <v>918.18</v>
      </c>
      <c r="AA173" s="1">
        <f t="shared" si="35"/>
        <v>4</v>
      </c>
      <c r="AB173" s="1" t="str">
        <f t="shared" si="36"/>
        <v>Late</v>
      </c>
      <c r="AC173" s="1">
        <f t="shared" si="37"/>
        <v>851.18</v>
      </c>
      <c r="AD173" s="7">
        <f t="shared" si="38"/>
        <v>0</v>
      </c>
      <c r="AE173" s="1">
        <f t="shared" si="39"/>
        <v>0</v>
      </c>
      <c r="AF173" s="1">
        <f t="shared" si="40"/>
        <v>0</v>
      </c>
    </row>
    <row r="174" spans="1:32" ht="14.25" customHeight="1" x14ac:dyDescent="0.3">
      <c r="A174" s="1" t="s">
        <v>539</v>
      </c>
      <c r="B174" s="1" t="s">
        <v>540</v>
      </c>
      <c r="C174" s="1" t="s">
        <v>541</v>
      </c>
      <c r="D174" s="1" t="str">
        <f t="shared" si="28"/>
        <v>Jodi Whitney</v>
      </c>
      <c r="E174" s="1">
        <v>33</v>
      </c>
      <c r="F174" s="1" t="s">
        <v>45</v>
      </c>
      <c r="G174" s="1" t="s">
        <v>161</v>
      </c>
      <c r="H174" s="1" t="s">
        <v>542</v>
      </c>
      <c r="I174" s="1" t="s">
        <v>543</v>
      </c>
      <c r="J174" s="1" t="s">
        <v>1792</v>
      </c>
      <c r="K174" s="2">
        <v>45351</v>
      </c>
      <c r="L174" s="2" t="str">
        <f t="shared" si="29"/>
        <v>February</v>
      </c>
      <c r="M174" s="1" t="s">
        <v>1793</v>
      </c>
      <c r="N174" s="1" t="s">
        <v>546</v>
      </c>
      <c r="O174" s="1">
        <v>425.59</v>
      </c>
      <c r="P174" s="1">
        <v>2</v>
      </c>
      <c r="Q174" s="1">
        <f t="shared" si="30"/>
        <v>851.18</v>
      </c>
      <c r="R174" s="1" t="s">
        <v>89</v>
      </c>
      <c r="S174" s="1">
        <f t="shared" si="31"/>
        <v>85.117999999999995</v>
      </c>
      <c r="T174" s="1">
        <f t="shared" si="32"/>
        <v>766.0619999999999</v>
      </c>
      <c r="U174" s="1">
        <v>4</v>
      </c>
      <c r="V174" s="1">
        <f t="shared" si="33"/>
        <v>830.0619999999999</v>
      </c>
      <c r="W174" s="1">
        <v>64</v>
      </c>
      <c r="X174" s="2">
        <v>45358</v>
      </c>
      <c r="Y174" s="1" t="s">
        <v>1794</v>
      </c>
      <c r="Z174" s="1">
        <f t="shared" si="34"/>
        <v>915.18</v>
      </c>
      <c r="AA174" s="1">
        <f t="shared" si="35"/>
        <v>7</v>
      </c>
      <c r="AB174" s="1" t="str">
        <f t="shared" si="36"/>
        <v>Late</v>
      </c>
      <c r="AC174" s="1">
        <f t="shared" si="37"/>
        <v>851.18</v>
      </c>
      <c r="AD174" s="7">
        <f t="shared" si="38"/>
        <v>0.1</v>
      </c>
      <c r="AE174" s="1">
        <f t="shared" si="39"/>
        <v>85.117999999999995</v>
      </c>
      <c r="AF174" s="1">
        <f t="shared" si="40"/>
        <v>149.11799999999999</v>
      </c>
    </row>
    <row r="175" spans="1:32" ht="14.25" customHeight="1" x14ac:dyDescent="0.3">
      <c r="A175" s="1" t="s">
        <v>359</v>
      </c>
      <c r="B175" s="1" t="s">
        <v>360</v>
      </c>
      <c r="C175" s="1" t="s">
        <v>361</v>
      </c>
      <c r="D175" s="1" t="str">
        <f t="shared" si="28"/>
        <v>Timothy Hicks</v>
      </c>
      <c r="E175" s="1">
        <v>31</v>
      </c>
      <c r="F175" s="1" t="s">
        <v>45</v>
      </c>
      <c r="G175" s="1" t="s">
        <v>133</v>
      </c>
      <c r="H175" s="1" t="s">
        <v>362</v>
      </c>
      <c r="I175" s="1" t="s">
        <v>363</v>
      </c>
      <c r="J175" s="1" t="s">
        <v>1826</v>
      </c>
      <c r="K175" s="2">
        <v>45398</v>
      </c>
      <c r="L175" s="2" t="str">
        <f t="shared" si="29"/>
        <v>April</v>
      </c>
      <c r="M175" s="1" t="s">
        <v>1827</v>
      </c>
      <c r="N175" s="1" t="s">
        <v>546</v>
      </c>
      <c r="O175" s="1">
        <v>425.59</v>
      </c>
      <c r="P175" s="1">
        <v>2</v>
      </c>
      <c r="Q175" s="1">
        <f t="shared" si="30"/>
        <v>851.18</v>
      </c>
      <c r="R175" s="1" t="s">
        <v>51</v>
      </c>
      <c r="S175" s="1">
        <f t="shared" si="31"/>
        <v>127.67699999999999</v>
      </c>
      <c r="T175" s="1">
        <f t="shared" si="32"/>
        <v>723.50299999999993</v>
      </c>
      <c r="U175" s="1">
        <v>1</v>
      </c>
      <c r="V175" s="1">
        <f t="shared" si="33"/>
        <v>767.50299999999993</v>
      </c>
      <c r="W175" s="1">
        <v>44</v>
      </c>
      <c r="X175" s="2">
        <v>45403</v>
      </c>
      <c r="Y175" s="1" t="s">
        <v>1828</v>
      </c>
      <c r="Z175" s="1">
        <f t="shared" si="34"/>
        <v>895.18</v>
      </c>
      <c r="AA175" s="1">
        <f t="shared" si="35"/>
        <v>5</v>
      </c>
      <c r="AB175" s="1" t="str">
        <f t="shared" si="36"/>
        <v>Late</v>
      </c>
      <c r="AC175" s="1">
        <f t="shared" si="37"/>
        <v>851.18</v>
      </c>
      <c r="AD175" s="7">
        <f t="shared" si="38"/>
        <v>0.15</v>
      </c>
      <c r="AE175" s="1">
        <f t="shared" si="39"/>
        <v>127.67699999999999</v>
      </c>
      <c r="AF175" s="1">
        <f t="shared" si="40"/>
        <v>171.67699999999999</v>
      </c>
    </row>
    <row r="176" spans="1:32" ht="14.25" customHeight="1" x14ac:dyDescent="0.3">
      <c r="A176" s="1" t="s">
        <v>378</v>
      </c>
      <c r="B176" s="1" t="s">
        <v>379</v>
      </c>
      <c r="C176" s="1" t="s">
        <v>380</v>
      </c>
      <c r="D176" s="1" t="str">
        <f t="shared" si="28"/>
        <v>Aaron Thompson</v>
      </c>
      <c r="E176" s="1">
        <v>47</v>
      </c>
      <c r="F176" s="1" t="s">
        <v>34</v>
      </c>
      <c r="G176" s="1" t="s">
        <v>83</v>
      </c>
      <c r="H176" s="1" t="s">
        <v>381</v>
      </c>
      <c r="I176" s="1" t="s">
        <v>382</v>
      </c>
      <c r="J176" s="1" t="s">
        <v>1396</v>
      </c>
      <c r="K176" s="2">
        <v>45513</v>
      </c>
      <c r="L176" s="2" t="str">
        <f t="shared" si="29"/>
        <v>August</v>
      </c>
      <c r="M176" s="1" t="s">
        <v>1397</v>
      </c>
      <c r="N176" s="1" t="s">
        <v>679</v>
      </c>
      <c r="O176" s="1">
        <v>424.82</v>
      </c>
      <c r="P176" s="1">
        <v>2</v>
      </c>
      <c r="Q176" s="1">
        <f t="shared" si="30"/>
        <v>849.64</v>
      </c>
      <c r="R176" s="1" t="s">
        <v>56</v>
      </c>
      <c r="S176" s="1">
        <f t="shared" si="31"/>
        <v>0</v>
      </c>
      <c r="T176" s="1">
        <f t="shared" si="32"/>
        <v>849.64</v>
      </c>
      <c r="U176" s="1">
        <v>2</v>
      </c>
      <c r="V176" s="1">
        <f t="shared" si="33"/>
        <v>906.64</v>
      </c>
      <c r="W176" s="1">
        <v>57</v>
      </c>
      <c r="X176" s="2">
        <v>45520</v>
      </c>
      <c r="Y176" s="1" t="s">
        <v>1398</v>
      </c>
      <c r="Z176" s="1">
        <f t="shared" si="34"/>
        <v>906.64</v>
      </c>
      <c r="AA176" s="1">
        <f t="shared" si="35"/>
        <v>7</v>
      </c>
      <c r="AB176" s="1" t="str">
        <f t="shared" si="36"/>
        <v>Late</v>
      </c>
      <c r="AC176" s="1">
        <f t="shared" si="37"/>
        <v>849.64</v>
      </c>
      <c r="AD176" s="7">
        <f t="shared" si="38"/>
        <v>0</v>
      </c>
      <c r="AE176" s="1">
        <f t="shared" si="39"/>
        <v>0</v>
      </c>
      <c r="AF176" s="1">
        <f t="shared" si="40"/>
        <v>0</v>
      </c>
    </row>
    <row r="177" spans="1:32" ht="14.25" customHeight="1" x14ac:dyDescent="0.3">
      <c r="A177" s="1" t="s">
        <v>413</v>
      </c>
      <c r="B177" s="1" t="s">
        <v>414</v>
      </c>
      <c r="C177" s="1" t="s">
        <v>415</v>
      </c>
      <c r="D177" s="1" t="str">
        <f t="shared" si="28"/>
        <v>Amanda Howard</v>
      </c>
      <c r="E177" s="1">
        <v>52</v>
      </c>
      <c r="F177" s="1" t="s">
        <v>45</v>
      </c>
      <c r="G177" s="1" t="s">
        <v>213</v>
      </c>
      <c r="H177" s="1" t="s">
        <v>416</v>
      </c>
      <c r="I177" s="1" t="s">
        <v>417</v>
      </c>
      <c r="J177" s="1" t="s">
        <v>2043</v>
      </c>
      <c r="K177" s="2">
        <v>45472</v>
      </c>
      <c r="L177" s="2" t="str">
        <f t="shared" si="29"/>
        <v>June</v>
      </c>
      <c r="M177" s="1" t="s">
        <v>2044</v>
      </c>
      <c r="N177" s="1" t="s">
        <v>679</v>
      </c>
      <c r="O177" s="1">
        <v>424.82</v>
      </c>
      <c r="P177" s="1">
        <v>2</v>
      </c>
      <c r="Q177" s="1">
        <f t="shared" si="30"/>
        <v>849.64</v>
      </c>
      <c r="R177" s="1" t="s">
        <v>56</v>
      </c>
      <c r="S177" s="1">
        <f t="shared" si="31"/>
        <v>0</v>
      </c>
      <c r="T177" s="1">
        <f t="shared" si="32"/>
        <v>849.64</v>
      </c>
      <c r="U177" s="1">
        <v>6</v>
      </c>
      <c r="V177" s="1">
        <f t="shared" si="33"/>
        <v>912.64</v>
      </c>
      <c r="W177" s="1">
        <v>63</v>
      </c>
      <c r="X177" s="2">
        <v>45477</v>
      </c>
      <c r="Y177" s="1" t="s">
        <v>2045</v>
      </c>
      <c r="Z177" s="1">
        <f t="shared" si="34"/>
        <v>912.64</v>
      </c>
      <c r="AA177" s="1">
        <f t="shared" si="35"/>
        <v>5</v>
      </c>
      <c r="AB177" s="1" t="str">
        <f t="shared" si="36"/>
        <v>BeforeTime</v>
      </c>
      <c r="AC177" s="1">
        <f t="shared" si="37"/>
        <v>849.64</v>
      </c>
      <c r="AD177" s="7">
        <f t="shared" si="38"/>
        <v>0</v>
      </c>
      <c r="AE177" s="1">
        <f t="shared" si="39"/>
        <v>0</v>
      </c>
      <c r="AF177" s="1">
        <f t="shared" si="40"/>
        <v>0</v>
      </c>
    </row>
    <row r="178" spans="1:32" ht="14.25" customHeight="1" x14ac:dyDescent="0.3">
      <c r="A178" s="1" t="s">
        <v>229</v>
      </c>
      <c r="B178" s="1" t="s">
        <v>59</v>
      </c>
      <c r="C178" s="1" t="s">
        <v>230</v>
      </c>
      <c r="D178" s="1" t="str">
        <f t="shared" si="28"/>
        <v>Angela Evans</v>
      </c>
      <c r="E178" s="1">
        <v>52</v>
      </c>
      <c r="F178" s="1" t="s">
        <v>45</v>
      </c>
      <c r="G178" s="1" t="s">
        <v>35</v>
      </c>
      <c r="H178" s="1" t="s">
        <v>231</v>
      </c>
      <c r="I178" s="1" t="s">
        <v>232</v>
      </c>
      <c r="J178" s="1" t="s">
        <v>237</v>
      </c>
      <c r="K178" s="2">
        <v>45138</v>
      </c>
      <c r="L178" s="2" t="str">
        <f t="shared" si="29"/>
        <v>July</v>
      </c>
      <c r="M178" s="1" t="s">
        <v>238</v>
      </c>
      <c r="N178" s="1" t="s">
        <v>239</v>
      </c>
      <c r="O178" s="1">
        <v>282.63</v>
      </c>
      <c r="P178" s="1">
        <v>3</v>
      </c>
      <c r="Q178" s="1">
        <f t="shared" si="30"/>
        <v>847.89</v>
      </c>
      <c r="R178" s="1" t="s">
        <v>56</v>
      </c>
      <c r="S178" s="1">
        <f t="shared" si="31"/>
        <v>0</v>
      </c>
      <c r="T178" s="1">
        <f t="shared" si="32"/>
        <v>847.89</v>
      </c>
      <c r="U178" s="1">
        <v>2</v>
      </c>
      <c r="V178" s="1">
        <f t="shared" si="33"/>
        <v>887.89</v>
      </c>
      <c r="W178" s="1">
        <v>40</v>
      </c>
      <c r="X178" s="2">
        <v>45142</v>
      </c>
      <c r="Y178" s="1" t="s">
        <v>240</v>
      </c>
      <c r="Z178" s="1">
        <f t="shared" si="34"/>
        <v>887.89</v>
      </c>
      <c r="AA178" s="1">
        <f t="shared" si="35"/>
        <v>4</v>
      </c>
      <c r="AB178" s="1" t="str">
        <f t="shared" si="36"/>
        <v>Late</v>
      </c>
      <c r="AC178" s="1">
        <f t="shared" si="37"/>
        <v>847.89</v>
      </c>
      <c r="AD178" s="7">
        <f t="shared" si="38"/>
        <v>0</v>
      </c>
      <c r="AE178" s="1">
        <f t="shared" si="39"/>
        <v>0</v>
      </c>
      <c r="AF178" s="1">
        <f t="shared" si="40"/>
        <v>0</v>
      </c>
    </row>
    <row r="179" spans="1:32" ht="14.25" customHeight="1" x14ac:dyDescent="0.3">
      <c r="A179" s="1" t="s">
        <v>539</v>
      </c>
      <c r="B179" s="1" t="s">
        <v>540</v>
      </c>
      <c r="C179" s="1" t="s">
        <v>541</v>
      </c>
      <c r="D179" s="1" t="str">
        <f t="shared" si="28"/>
        <v>Jodi Whitney</v>
      </c>
      <c r="E179" s="1">
        <v>33</v>
      </c>
      <c r="F179" s="1" t="s">
        <v>45</v>
      </c>
      <c r="G179" s="1" t="s">
        <v>161</v>
      </c>
      <c r="H179" s="1" t="s">
        <v>542</v>
      </c>
      <c r="I179" s="1" t="s">
        <v>543</v>
      </c>
      <c r="J179" s="1" t="s">
        <v>1688</v>
      </c>
      <c r="K179" s="2">
        <v>45302</v>
      </c>
      <c r="L179" s="2" t="str">
        <f t="shared" si="29"/>
        <v>January</v>
      </c>
      <c r="M179" s="1" t="s">
        <v>1689</v>
      </c>
      <c r="N179" s="1" t="s">
        <v>239</v>
      </c>
      <c r="O179" s="1">
        <v>282.63</v>
      </c>
      <c r="P179" s="1">
        <v>3</v>
      </c>
      <c r="Q179" s="1">
        <f t="shared" si="30"/>
        <v>847.89</v>
      </c>
      <c r="R179" s="1" t="s">
        <v>56</v>
      </c>
      <c r="S179" s="1">
        <f t="shared" si="31"/>
        <v>0</v>
      </c>
      <c r="T179" s="1">
        <f t="shared" si="32"/>
        <v>847.89</v>
      </c>
      <c r="U179" s="1">
        <v>4</v>
      </c>
      <c r="V179" s="1">
        <f t="shared" si="33"/>
        <v>913.89</v>
      </c>
      <c r="W179" s="1">
        <v>66</v>
      </c>
      <c r="X179" s="2">
        <v>45307</v>
      </c>
      <c r="Y179" s="1" t="s">
        <v>737</v>
      </c>
      <c r="Z179" s="1">
        <f t="shared" si="34"/>
        <v>913.89</v>
      </c>
      <c r="AA179" s="1">
        <f t="shared" si="35"/>
        <v>5</v>
      </c>
      <c r="AB179" s="1" t="str">
        <f t="shared" si="36"/>
        <v>Late</v>
      </c>
      <c r="AC179" s="1">
        <f t="shared" si="37"/>
        <v>847.89</v>
      </c>
      <c r="AD179" s="7">
        <f t="shared" si="38"/>
        <v>0</v>
      </c>
      <c r="AE179" s="1">
        <f t="shared" si="39"/>
        <v>0</v>
      </c>
      <c r="AF179" s="1">
        <f t="shared" si="40"/>
        <v>0</v>
      </c>
    </row>
    <row r="180" spans="1:32" ht="14.25" customHeight="1" x14ac:dyDescent="0.3">
      <c r="A180" s="1" t="s">
        <v>413</v>
      </c>
      <c r="B180" s="1" t="s">
        <v>414</v>
      </c>
      <c r="C180" s="1" t="s">
        <v>415</v>
      </c>
      <c r="D180" s="1" t="str">
        <f t="shared" si="28"/>
        <v>Amanda Howard</v>
      </c>
      <c r="E180" s="1">
        <v>52</v>
      </c>
      <c r="F180" s="1" t="s">
        <v>45</v>
      </c>
      <c r="G180" s="1" t="s">
        <v>213</v>
      </c>
      <c r="H180" s="1" t="s">
        <v>416</v>
      </c>
      <c r="I180" s="1" t="s">
        <v>417</v>
      </c>
      <c r="J180" s="1" t="s">
        <v>1741</v>
      </c>
      <c r="K180" s="2">
        <v>45471</v>
      </c>
      <c r="L180" s="2" t="str">
        <f t="shared" si="29"/>
        <v>June</v>
      </c>
      <c r="M180" s="1" t="s">
        <v>1742</v>
      </c>
      <c r="N180" s="1" t="s">
        <v>239</v>
      </c>
      <c r="O180" s="1">
        <v>282.63</v>
      </c>
      <c r="P180" s="1">
        <v>3</v>
      </c>
      <c r="Q180" s="1">
        <f t="shared" si="30"/>
        <v>847.89</v>
      </c>
      <c r="R180" s="1" t="s">
        <v>29</v>
      </c>
      <c r="S180" s="1">
        <f t="shared" si="31"/>
        <v>67.831199999999995</v>
      </c>
      <c r="T180" s="1">
        <f t="shared" si="32"/>
        <v>780.05880000000002</v>
      </c>
      <c r="U180" s="1">
        <v>3</v>
      </c>
      <c r="V180" s="1">
        <f t="shared" si="33"/>
        <v>816.05880000000002</v>
      </c>
      <c r="W180" s="1">
        <v>36</v>
      </c>
      <c r="X180" s="2">
        <v>45478</v>
      </c>
      <c r="Y180" s="1" t="s">
        <v>1743</v>
      </c>
      <c r="Z180" s="1">
        <f t="shared" si="34"/>
        <v>883.89</v>
      </c>
      <c r="AA180" s="1">
        <f t="shared" si="35"/>
        <v>7</v>
      </c>
      <c r="AB180" s="1" t="str">
        <f t="shared" si="36"/>
        <v>Late</v>
      </c>
      <c r="AC180" s="1">
        <f t="shared" si="37"/>
        <v>847.89</v>
      </c>
      <c r="AD180" s="7">
        <f t="shared" si="38"/>
        <v>0.08</v>
      </c>
      <c r="AE180" s="1">
        <f t="shared" si="39"/>
        <v>67.831199999999995</v>
      </c>
      <c r="AF180" s="1">
        <f t="shared" si="40"/>
        <v>103.8312</v>
      </c>
    </row>
    <row r="181" spans="1:32" ht="14.25" customHeight="1" x14ac:dyDescent="0.3">
      <c r="A181" s="1" t="s">
        <v>483</v>
      </c>
      <c r="B181" s="1" t="s">
        <v>179</v>
      </c>
      <c r="C181" s="1" t="s">
        <v>320</v>
      </c>
      <c r="D181" s="1" t="str">
        <f t="shared" si="28"/>
        <v>Mitchell Parker</v>
      </c>
      <c r="E181" s="1">
        <v>39</v>
      </c>
      <c r="F181" s="1" t="s">
        <v>45</v>
      </c>
      <c r="G181" s="1" t="s">
        <v>35</v>
      </c>
      <c r="H181" s="1" t="s">
        <v>484</v>
      </c>
      <c r="I181" s="1" t="s">
        <v>485</v>
      </c>
      <c r="J181" s="1" t="s">
        <v>1002</v>
      </c>
      <c r="K181" s="2">
        <v>45651</v>
      </c>
      <c r="L181" s="2" t="str">
        <f t="shared" si="29"/>
        <v>December</v>
      </c>
      <c r="M181" s="1" t="s">
        <v>1003</v>
      </c>
      <c r="N181" s="1" t="s">
        <v>488</v>
      </c>
      <c r="O181" s="1">
        <v>421.7</v>
      </c>
      <c r="P181" s="1">
        <v>2</v>
      </c>
      <c r="Q181" s="1">
        <f t="shared" si="30"/>
        <v>843.4</v>
      </c>
      <c r="R181" s="1" t="s">
        <v>29</v>
      </c>
      <c r="S181" s="1">
        <f t="shared" si="31"/>
        <v>67.471999999999994</v>
      </c>
      <c r="T181" s="1">
        <f t="shared" si="32"/>
        <v>775.928</v>
      </c>
      <c r="U181" s="1">
        <v>5</v>
      </c>
      <c r="V181" s="1">
        <f t="shared" si="33"/>
        <v>820.928</v>
      </c>
      <c r="W181" s="1">
        <v>45</v>
      </c>
      <c r="X181" s="2">
        <v>45653</v>
      </c>
      <c r="Y181" s="1" t="s">
        <v>1004</v>
      </c>
      <c r="Z181" s="1">
        <f t="shared" si="34"/>
        <v>888.4</v>
      </c>
      <c r="AA181" s="1">
        <f t="shared" si="35"/>
        <v>2</v>
      </c>
      <c r="AB181" s="1" t="str">
        <f t="shared" si="36"/>
        <v>BeforeTime</v>
      </c>
      <c r="AC181" s="1">
        <f t="shared" si="37"/>
        <v>843.4</v>
      </c>
      <c r="AD181" s="7">
        <f t="shared" si="38"/>
        <v>0.08</v>
      </c>
      <c r="AE181" s="1">
        <f t="shared" si="39"/>
        <v>67.471999999999994</v>
      </c>
      <c r="AF181" s="1">
        <f t="shared" si="40"/>
        <v>112.47199999999999</v>
      </c>
    </row>
    <row r="182" spans="1:32" ht="14.25" customHeight="1" x14ac:dyDescent="0.3">
      <c r="A182" s="1" t="s">
        <v>149</v>
      </c>
      <c r="B182" s="1" t="s">
        <v>150</v>
      </c>
      <c r="C182" s="1" t="s">
        <v>151</v>
      </c>
      <c r="D182" s="1" t="str">
        <f t="shared" si="28"/>
        <v>Joshua Campbell</v>
      </c>
      <c r="E182" s="1">
        <v>24</v>
      </c>
      <c r="F182" s="1" t="s">
        <v>22</v>
      </c>
      <c r="G182" s="1" t="s">
        <v>152</v>
      </c>
      <c r="H182" s="1" t="s">
        <v>153</v>
      </c>
      <c r="I182" s="1" t="s">
        <v>154</v>
      </c>
      <c r="J182" s="1" t="s">
        <v>1261</v>
      </c>
      <c r="K182" s="2">
        <v>45512</v>
      </c>
      <c r="L182" s="2" t="str">
        <f t="shared" si="29"/>
        <v>August</v>
      </c>
      <c r="M182" s="1" t="s">
        <v>1262</v>
      </c>
      <c r="N182" s="1" t="s">
        <v>488</v>
      </c>
      <c r="O182" s="1">
        <v>421.7</v>
      </c>
      <c r="P182" s="1">
        <v>2</v>
      </c>
      <c r="Q182" s="1">
        <f t="shared" si="30"/>
        <v>843.4</v>
      </c>
      <c r="R182" s="1" t="s">
        <v>89</v>
      </c>
      <c r="S182" s="1">
        <f t="shared" si="31"/>
        <v>84.34</v>
      </c>
      <c r="T182" s="1">
        <f t="shared" si="32"/>
        <v>759.06</v>
      </c>
      <c r="U182" s="1">
        <v>2</v>
      </c>
      <c r="V182" s="1">
        <f t="shared" si="33"/>
        <v>813.06</v>
      </c>
      <c r="W182" s="1">
        <v>54</v>
      </c>
      <c r="X182" s="2">
        <v>45514</v>
      </c>
      <c r="Y182" s="1" t="s">
        <v>1263</v>
      </c>
      <c r="Z182" s="1">
        <f t="shared" si="34"/>
        <v>897.4</v>
      </c>
      <c r="AA182" s="1">
        <f t="shared" si="35"/>
        <v>2</v>
      </c>
      <c r="AB182" s="1" t="str">
        <f t="shared" si="36"/>
        <v>Intime</v>
      </c>
      <c r="AC182" s="1">
        <f t="shared" si="37"/>
        <v>843.4</v>
      </c>
      <c r="AD182" s="7">
        <f t="shared" si="38"/>
        <v>0.1</v>
      </c>
      <c r="AE182" s="1">
        <f t="shared" si="39"/>
        <v>84.34</v>
      </c>
      <c r="AF182" s="1">
        <f t="shared" si="40"/>
        <v>138.34</v>
      </c>
    </row>
    <row r="183" spans="1:32" ht="14.25" customHeight="1" x14ac:dyDescent="0.3">
      <c r="A183" s="1" t="s">
        <v>585</v>
      </c>
      <c r="B183" s="1" t="s">
        <v>586</v>
      </c>
      <c r="C183" s="1" t="s">
        <v>587</v>
      </c>
      <c r="D183" s="1" t="str">
        <f t="shared" si="28"/>
        <v>William Mann</v>
      </c>
      <c r="E183" s="1">
        <v>21</v>
      </c>
      <c r="F183" s="1" t="s">
        <v>22</v>
      </c>
      <c r="G183" s="1" t="s">
        <v>35</v>
      </c>
      <c r="H183" s="1" t="s">
        <v>588</v>
      </c>
      <c r="I183" s="1" t="s">
        <v>589</v>
      </c>
      <c r="J183" s="1" t="s">
        <v>661</v>
      </c>
      <c r="K183" s="2">
        <v>45321</v>
      </c>
      <c r="L183" s="2" t="str">
        <f t="shared" si="29"/>
        <v>January</v>
      </c>
      <c r="M183" s="1" t="s">
        <v>662</v>
      </c>
      <c r="N183" s="1" t="s">
        <v>98</v>
      </c>
      <c r="O183" s="1">
        <v>275.44</v>
      </c>
      <c r="P183" s="1">
        <v>3</v>
      </c>
      <c r="Q183" s="1">
        <f t="shared" si="30"/>
        <v>826.31999999999994</v>
      </c>
      <c r="R183" s="1" t="s">
        <v>51</v>
      </c>
      <c r="S183" s="1">
        <f t="shared" si="31"/>
        <v>123.94799999999998</v>
      </c>
      <c r="T183" s="1">
        <f t="shared" si="32"/>
        <v>702.37199999999996</v>
      </c>
      <c r="U183" s="1">
        <v>7</v>
      </c>
      <c r="V183" s="1">
        <f t="shared" si="33"/>
        <v>749.37199999999996</v>
      </c>
      <c r="W183" s="1">
        <v>47</v>
      </c>
      <c r="X183" s="2">
        <v>45322</v>
      </c>
      <c r="Y183" s="1" t="s">
        <v>663</v>
      </c>
      <c r="Z183" s="1">
        <f t="shared" si="34"/>
        <v>873.31999999999994</v>
      </c>
      <c r="AA183" s="1">
        <f t="shared" si="35"/>
        <v>1</v>
      </c>
      <c r="AB183" s="1" t="str">
        <f t="shared" si="36"/>
        <v>BeforeTime</v>
      </c>
      <c r="AC183" s="1">
        <f t="shared" si="37"/>
        <v>826.31999999999994</v>
      </c>
      <c r="AD183" s="7">
        <f t="shared" si="38"/>
        <v>0.15</v>
      </c>
      <c r="AE183" s="1">
        <f t="shared" si="39"/>
        <v>123.94799999999998</v>
      </c>
      <c r="AF183" s="1">
        <f t="shared" si="40"/>
        <v>170.94799999999998</v>
      </c>
    </row>
    <row r="184" spans="1:32" ht="14.25" customHeight="1" x14ac:dyDescent="0.3">
      <c r="A184" s="1" t="s">
        <v>158</v>
      </c>
      <c r="B184" s="1" t="s">
        <v>159</v>
      </c>
      <c r="C184" s="1" t="s">
        <v>160</v>
      </c>
      <c r="D184" s="1" t="str">
        <f t="shared" si="28"/>
        <v>Erin Miller</v>
      </c>
      <c r="E184" s="1">
        <v>46</v>
      </c>
      <c r="F184" s="1" t="s">
        <v>22</v>
      </c>
      <c r="G184" s="1" t="s">
        <v>161</v>
      </c>
      <c r="H184" s="1" t="s">
        <v>162</v>
      </c>
      <c r="I184" s="1" t="s">
        <v>163</v>
      </c>
      <c r="J184" s="1" t="s">
        <v>1626</v>
      </c>
      <c r="K184" s="2">
        <v>45473</v>
      </c>
      <c r="L184" s="2" t="str">
        <f t="shared" si="29"/>
        <v>June</v>
      </c>
      <c r="M184" s="1" t="s">
        <v>1627</v>
      </c>
      <c r="N184" s="1" t="s">
        <v>166</v>
      </c>
      <c r="O184" s="1">
        <v>272.51</v>
      </c>
      <c r="P184" s="1">
        <v>3</v>
      </c>
      <c r="Q184" s="1">
        <f t="shared" si="30"/>
        <v>817.53</v>
      </c>
      <c r="R184" s="1" t="s">
        <v>29</v>
      </c>
      <c r="S184" s="1">
        <f t="shared" si="31"/>
        <v>65.4024</v>
      </c>
      <c r="T184" s="1">
        <f t="shared" si="32"/>
        <v>752.12760000000003</v>
      </c>
      <c r="U184" s="1">
        <v>5</v>
      </c>
      <c r="V184" s="1">
        <f t="shared" si="33"/>
        <v>818.12760000000003</v>
      </c>
      <c r="W184" s="1">
        <v>66</v>
      </c>
      <c r="X184" s="2">
        <v>45479</v>
      </c>
      <c r="Y184" s="1" t="s">
        <v>1628</v>
      </c>
      <c r="Z184" s="1">
        <f t="shared" si="34"/>
        <v>883.53</v>
      </c>
      <c r="AA184" s="1">
        <f t="shared" si="35"/>
        <v>6</v>
      </c>
      <c r="AB184" s="1" t="str">
        <f t="shared" si="36"/>
        <v>Late</v>
      </c>
      <c r="AC184" s="1">
        <f t="shared" si="37"/>
        <v>817.53</v>
      </c>
      <c r="AD184" s="7">
        <f t="shared" si="38"/>
        <v>0.08</v>
      </c>
      <c r="AE184" s="1">
        <f t="shared" si="39"/>
        <v>65.4024</v>
      </c>
      <c r="AF184" s="1">
        <f t="shared" si="40"/>
        <v>131.4024</v>
      </c>
    </row>
    <row r="185" spans="1:32" ht="14.25" customHeight="1" x14ac:dyDescent="0.3">
      <c r="A185" s="1" t="s">
        <v>428</v>
      </c>
      <c r="B185" s="1" t="s">
        <v>429</v>
      </c>
      <c r="C185" s="1" t="s">
        <v>430</v>
      </c>
      <c r="D185" s="1" t="str">
        <f t="shared" si="28"/>
        <v>Mary Knight</v>
      </c>
      <c r="E185" s="1">
        <v>28</v>
      </c>
      <c r="F185" s="1" t="s">
        <v>45</v>
      </c>
      <c r="G185" s="1" t="s">
        <v>69</v>
      </c>
      <c r="H185" s="1" t="s">
        <v>431</v>
      </c>
      <c r="I185" s="1" t="s">
        <v>432</v>
      </c>
      <c r="J185" s="1" t="s">
        <v>1653</v>
      </c>
      <c r="K185" s="2">
        <v>45307</v>
      </c>
      <c r="L185" s="2" t="str">
        <f t="shared" si="29"/>
        <v>January</v>
      </c>
      <c r="M185" s="1" t="s">
        <v>1654</v>
      </c>
      <c r="N185" s="1" t="s">
        <v>166</v>
      </c>
      <c r="O185" s="1">
        <v>272.51</v>
      </c>
      <c r="P185" s="1">
        <v>3</v>
      </c>
      <c r="Q185" s="1">
        <f t="shared" si="30"/>
        <v>817.53</v>
      </c>
      <c r="R185" s="1" t="s">
        <v>29</v>
      </c>
      <c r="S185" s="1">
        <f t="shared" si="31"/>
        <v>65.4024</v>
      </c>
      <c r="T185" s="1">
        <f t="shared" si="32"/>
        <v>752.12760000000003</v>
      </c>
      <c r="U185" s="1">
        <v>6</v>
      </c>
      <c r="V185" s="1">
        <f t="shared" si="33"/>
        <v>796.12760000000003</v>
      </c>
      <c r="W185" s="1">
        <v>44</v>
      </c>
      <c r="X185" s="2">
        <v>45310</v>
      </c>
      <c r="Y185" s="1" t="s">
        <v>1655</v>
      </c>
      <c r="Z185" s="1">
        <f t="shared" si="34"/>
        <v>861.53</v>
      </c>
      <c r="AA185" s="1">
        <f t="shared" si="35"/>
        <v>3</v>
      </c>
      <c r="AB185" s="1" t="str">
        <f t="shared" si="36"/>
        <v>BeforeTime</v>
      </c>
      <c r="AC185" s="1">
        <f t="shared" si="37"/>
        <v>817.53</v>
      </c>
      <c r="AD185" s="7">
        <f t="shared" si="38"/>
        <v>0.08</v>
      </c>
      <c r="AE185" s="1">
        <f t="shared" si="39"/>
        <v>65.4024</v>
      </c>
      <c r="AF185" s="1">
        <f t="shared" si="40"/>
        <v>109.4024</v>
      </c>
    </row>
    <row r="186" spans="1:32" ht="14.25" customHeight="1" x14ac:dyDescent="0.3">
      <c r="A186" s="1" t="s">
        <v>459</v>
      </c>
      <c r="B186" s="1" t="s">
        <v>460</v>
      </c>
      <c r="C186" s="1" t="s">
        <v>461</v>
      </c>
      <c r="D186" s="1" t="str">
        <f t="shared" si="28"/>
        <v>Lori Cook</v>
      </c>
      <c r="E186" s="1">
        <v>18</v>
      </c>
      <c r="F186" s="1" t="s">
        <v>34</v>
      </c>
      <c r="G186" s="1" t="s">
        <v>35</v>
      </c>
      <c r="H186" s="1" t="s">
        <v>462</v>
      </c>
      <c r="I186" s="1" t="s">
        <v>463</v>
      </c>
      <c r="J186" s="1" t="s">
        <v>881</v>
      </c>
      <c r="K186" s="2">
        <v>45378</v>
      </c>
      <c r="L186" s="2" t="str">
        <f t="shared" si="29"/>
        <v>March</v>
      </c>
      <c r="M186" s="1" t="s">
        <v>882</v>
      </c>
      <c r="N186" s="1" t="s">
        <v>50</v>
      </c>
      <c r="O186" s="1">
        <v>202.54</v>
      </c>
      <c r="P186" s="1">
        <v>4</v>
      </c>
      <c r="Q186" s="1">
        <f t="shared" si="30"/>
        <v>810.16</v>
      </c>
      <c r="R186" s="1" t="s">
        <v>89</v>
      </c>
      <c r="S186" s="1">
        <f t="shared" si="31"/>
        <v>81.016000000000005</v>
      </c>
      <c r="T186" s="1">
        <f t="shared" si="32"/>
        <v>729.14400000000001</v>
      </c>
      <c r="U186" s="1">
        <v>1</v>
      </c>
      <c r="V186" s="1">
        <f t="shared" si="33"/>
        <v>765.14400000000001</v>
      </c>
      <c r="W186" s="1">
        <v>36</v>
      </c>
      <c r="X186" s="2">
        <v>45380</v>
      </c>
      <c r="Y186" s="1" t="s">
        <v>883</v>
      </c>
      <c r="Z186" s="1">
        <f t="shared" si="34"/>
        <v>846.16</v>
      </c>
      <c r="AA186" s="1">
        <f t="shared" si="35"/>
        <v>2</v>
      </c>
      <c r="AB186" s="1" t="str">
        <f t="shared" si="36"/>
        <v>Late</v>
      </c>
      <c r="AC186" s="1">
        <f t="shared" si="37"/>
        <v>810.16</v>
      </c>
      <c r="AD186" s="7">
        <f t="shared" si="38"/>
        <v>0.1</v>
      </c>
      <c r="AE186" s="1">
        <f t="shared" si="39"/>
        <v>81.016000000000005</v>
      </c>
      <c r="AF186" s="1">
        <f t="shared" si="40"/>
        <v>117.01600000000001</v>
      </c>
    </row>
    <row r="187" spans="1:32" ht="14.25" customHeight="1" x14ac:dyDescent="0.3">
      <c r="A187" s="1" t="s">
        <v>493</v>
      </c>
      <c r="B187" s="1" t="s">
        <v>494</v>
      </c>
      <c r="C187" s="1" t="s">
        <v>380</v>
      </c>
      <c r="D187" s="1" t="str">
        <f t="shared" si="28"/>
        <v>Sharon Thompson</v>
      </c>
      <c r="E187" s="1">
        <v>57</v>
      </c>
      <c r="F187" s="1" t="s">
        <v>34</v>
      </c>
      <c r="G187" s="1" t="s">
        <v>213</v>
      </c>
      <c r="H187" s="1" t="s">
        <v>495</v>
      </c>
      <c r="I187" s="1" t="s">
        <v>496</v>
      </c>
      <c r="J187" s="1" t="s">
        <v>606</v>
      </c>
      <c r="K187" s="2">
        <v>45252</v>
      </c>
      <c r="L187" s="2" t="str">
        <f t="shared" si="29"/>
        <v>November</v>
      </c>
      <c r="M187" s="1" t="s">
        <v>607</v>
      </c>
      <c r="N187" s="1" t="s">
        <v>55</v>
      </c>
      <c r="O187" s="1">
        <v>405</v>
      </c>
      <c r="P187" s="1">
        <v>2</v>
      </c>
      <c r="Q187" s="1">
        <f t="shared" si="30"/>
        <v>810</v>
      </c>
      <c r="R187" s="1" t="s">
        <v>56</v>
      </c>
      <c r="S187" s="1">
        <f t="shared" si="31"/>
        <v>0</v>
      </c>
      <c r="T187" s="1">
        <f t="shared" si="32"/>
        <v>810</v>
      </c>
      <c r="U187" s="1">
        <v>4</v>
      </c>
      <c r="V187" s="1">
        <f t="shared" si="33"/>
        <v>880</v>
      </c>
      <c r="W187" s="1">
        <v>70</v>
      </c>
      <c r="X187" s="2">
        <v>45257</v>
      </c>
      <c r="Y187" s="1" t="s">
        <v>608</v>
      </c>
      <c r="Z187" s="1">
        <f t="shared" si="34"/>
        <v>880</v>
      </c>
      <c r="AA187" s="1">
        <f t="shared" si="35"/>
        <v>5</v>
      </c>
      <c r="AB187" s="1" t="str">
        <f t="shared" si="36"/>
        <v>Late</v>
      </c>
      <c r="AC187" s="1">
        <f t="shared" si="37"/>
        <v>810</v>
      </c>
      <c r="AD187" s="7">
        <f t="shared" si="38"/>
        <v>0</v>
      </c>
      <c r="AE187" s="1">
        <f t="shared" si="39"/>
        <v>0</v>
      </c>
      <c r="AF187" s="1">
        <f t="shared" si="40"/>
        <v>0</v>
      </c>
    </row>
    <row r="188" spans="1:32" ht="14.25" customHeight="1" x14ac:dyDescent="0.3">
      <c r="A188" s="1" t="s">
        <v>351</v>
      </c>
      <c r="B188" s="1" t="s">
        <v>352</v>
      </c>
      <c r="C188" s="1" t="s">
        <v>353</v>
      </c>
      <c r="D188" s="1" t="str">
        <f t="shared" si="28"/>
        <v>Robert Castillo</v>
      </c>
      <c r="E188" s="1">
        <v>32</v>
      </c>
      <c r="F188" s="1" t="s">
        <v>34</v>
      </c>
      <c r="G188" s="1" t="s">
        <v>161</v>
      </c>
      <c r="H188" s="1" t="s">
        <v>354</v>
      </c>
      <c r="I188" s="1" t="s">
        <v>355</v>
      </c>
      <c r="J188" s="1" t="s">
        <v>869</v>
      </c>
      <c r="K188" s="2">
        <v>45677</v>
      </c>
      <c r="L188" s="2" t="str">
        <f t="shared" si="29"/>
        <v>January</v>
      </c>
      <c r="M188" s="1" t="s">
        <v>870</v>
      </c>
      <c r="N188" s="1" t="s">
        <v>55</v>
      </c>
      <c r="O188" s="1">
        <v>405</v>
      </c>
      <c r="P188" s="1">
        <v>2</v>
      </c>
      <c r="Q188" s="1">
        <f t="shared" si="30"/>
        <v>810</v>
      </c>
      <c r="R188" s="1" t="s">
        <v>51</v>
      </c>
      <c r="S188" s="1">
        <f t="shared" si="31"/>
        <v>121.5</v>
      </c>
      <c r="T188" s="1">
        <f t="shared" si="32"/>
        <v>688.5</v>
      </c>
      <c r="U188" s="1">
        <v>7</v>
      </c>
      <c r="V188" s="1">
        <f t="shared" si="33"/>
        <v>743.5</v>
      </c>
      <c r="W188" s="1">
        <v>55</v>
      </c>
      <c r="X188" s="2">
        <v>45680</v>
      </c>
      <c r="Y188" s="1" t="s">
        <v>871</v>
      </c>
      <c r="Z188" s="1">
        <f t="shared" si="34"/>
        <v>865</v>
      </c>
      <c r="AA188" s="1">
        <f t="shared" si="35"/>
        <v>3</v>
      </c>
      <c r="AB188" s="1" t="str">
        <f t="shared" si="36"/>
        <v>BeforeTime</v>
      </c>
      <c r="AC188" s="1">
        <f t="shared" si="37"/>
        <v>810</v>
      </c>
      <c r="AD188" s="7">
        <f t="shared" si="38"/>
        <v>0.15</v>
      </c>
      <c r="AE188" s="1">
        <f t="shared" si="39"/>
        <v>121.5</v>
      </c>
      <c r="AF188" s="1">
        <f t="shared" si="40"/>
        <v>176.5</v>
      </c>
    </row>
    <row r="189" spans="1:32" ht="14.25" customHeight="1" x14ac:dyDescent="0.3">
      <c r="A189" s="1" t="s">
        <v>1096</v>
      </c>
      <c r="B189" s="1" t="s">
        <v>1097</v>
      </c>
      <c r="C189" s="1" t="s">
        <v>1098</v>
      </c>
      <c r="D189" s="1" t="str">
        <f t="shared" si="28"/>
        <v>Gary Huff</v>
      </c>
      <c r="E189" s="1">
        <v>18</v>
      </c>
      <c r="F189" s="1" t="s">
        <v>22</v>
      </c>
      <c r="G189" s="1" t="s">
        <v>69</v>
      </c>
      <c r="H189" s="1" t="s">
        <v>1099</v>
      </c>
      <c r="I189" s="1" t="s">
        <v>1100</v>
      </c>
      <c r="J189" s="1" t="s">
        <v>1155</v>
      </c>
      <c r="K189" s="2">
        <v>45117</v>
      </c>
      <c r="L189" s="2" t="str">
        <f t="shared" si="29"/>
        <v>July</v>
      </c>
      <c r="M189" s="1" t="s">
        <v>1156</v>
      </c>
      <c r="N189" s="1" t="s">
        <v>583</v>
      </c>
      <c r="O189" s="1">
        <v>403.03</v>
      </c>
      <c r="P189" s="1">
        <v>2</v>
      </c>
      <c r="Q189" s="1">
        <f t="shared" si="30"/>
        <v>806.06</v>
      </c>
      <c r="R189" s="1" t="s">
        <v>51</v>
      </c>
      <c r="S189" s="1">
        <f t="shared" si="31"/>
        <v>120.90899999999999</v>
      </c>
      <c r="T189" s="1">
        <f t="shared" si="32"/>
        <v>685.15099999999995</v>
      </c>
      <c r="U189" s="1">
        <v>7</v>
      </c>
      <c r="V189" s="1">
        <f t="shared" si="33"/>
        <v>730.15099999999995</v>
      </c>
      <c r="W189" s="1">
        <v>45</v>
      </c>
      <c r="X189" s="2">
        <v>45118</v>
      </c>
      <c r="Y189" s="1" t="s">
        <v>1157</v>
      </c>
      <c r="Z189" s="1">
        <f t="shared" si="34"/>
        <v>851.06</v>
      </c>
      <c r="AA189" s="1">
        <f t="shared" si="35"/>
        <v>1</v>
      </c>
      <c r="AB189" s="1" t="str">
        <f t="shared" si="36"/>
        <v>BeforeTime</v>
      </c>
      <c r="AC189" s="1">
        <f t="shared" si="37"/>
        <v>806.06</v>
      </c>
      <c r="AD189" s="7">
        <f t="shared" si="38"/>
        <v>0.15</v>
      </c>
      <c r="AE189" s="1">
        <f t="shared" si="39"/>
        <v>120.90899999999999</v>
      </c>
      <c r="AF189" s="1">
        <f t="shared" si="40"/>
        <v>165.90899999999999</v>
      </c>
    </row>
    <row r="190" spans="1:32" ht="14.25" customHeight="1" x14ac:dyDescent="0.3">
      <c r="A190" s="1" t="s">
        <v>1203</v>
      </c>
      <c r="B190" s="1" t="s">
        <v>1204</v>
      </c>
      <c r="C190" s="1" t="s">
        <v>1205</v>
      </c>
      <c r="D190" s="1" t="str">
        <f t="shared" si="28"/>
        <v>Brendan Kelly</v>
      </c>
      <c r="E190" s="1">
        <v>50</v>
      </c>
      <c r="F190" s="1" t="s">
        <v>45</v>
      </c>
      <c r="G190" s="1" t="s">
        <v>161</v>
      </c>
      <c r="H190" s="1" t="s">
        <v>1206</v>
      </c>
      <c r="I190" s="1" t="s">
        <v>1207</v>
      </c>
      <c r="J190" s="1" t="s">
        <v>1285</v>
      </c>
      <c r="K190" s="2">
        <v>45672</v>
      </c>
      <c r="L190" s="2" t="str">
        <f t="shared" si="29"/>
        <v>January</v>
      </c>
      <c r="M190" s="1" t="s">
        <v>1286</v>
      </c>
      <c r="N190" s="1" t="s">
        <v>583</v>
      </c>
      <c r="O190" s="1">
        <v>403.03</v>
      </c>
      <c r="P190" s="1">
        <v>2</v>
      </c>
      <c r="Q190" s="1">
        <f t="shared" si="30"/>
        <v>806.06</v>
      </c>
      <c r="R190" s="1" t="s">
        <v>78</v>
      </c>
      <c r="S190" s="1">
        <f t="shared" si="31"/>
        <v>161.21199999999999</v>
      </c>
      <c r="T190" s="1">
        <f t="shared" si="32"/>
        <v>644.84799999999996</v>
      </c>
      <c r="U190" s="1">
        <v>3</v>
      </c>
      <c r="V190" s="1">
        <f t="shared" si="33"/>
        <v>705.84799999999996</v>
      </c>
      <c r="W190" s="1">
        <v>61</v>
      </c>
      <c r="X190" s="2">
        <v>45677</v>
      </c>
      <c r="Y190" s="1" t="s">
        <v>1287</v>
      </c>
      <c r="Z190" s="1">
        <f t="shared" si="34"/>
        <v>867.06</v>
      </c>
      <c r="AA190" s="1">
        <f t="shared" si="35"/>
        <v>5</v>
      </c>
      <c r="AB190" s="1" t="str">
        <f t="shared" si="36"/>
        <v>Late</v>
      </c>
      <c r="AC190" s="1">
        <f t="shared" si="37"/>
        <v>806.06</v>
      </c>
      <c r="AD190" s="7">
        <f t="shared" si="38"/>
        <v>0.2</v>
      </c>
      <c r="AE190" s="1">
        <f t="shared" si="39"/>
        <v>161.21199999999999</v>
      </c>
      <c r="AF190" s="1">
        <f t="shared" si="40"/>
        <v>222.21199999999999</v>
      </c>
    </row>
    <row r="191" spans="1:32" ht="14.25" customHeight="1" x14ac:dyDescent="0.3">
      <c r="A191" s="1" t="s">
        <v>229</v>
      </c>
      <c r="B191" s="1" t="s">
        <v>59</v>
      </c>
      <c r="C191" s="1" t="s">
        <v>230</v>
      </c>
      <c r="D191" s="1" t="str">
        <f t="shared" si="28"/>
        <v>Angela Evans</v>
      </c>
      <c r="E191" s="1">
        <v>52</v>
      </c>
      <c r="F191" s="1" t="s">
        <v>45</v>
      </c>
      <c r="G191" s="1" t="s">
        <v>35</v>
      </c>
      <c r="H191" s="1" t="s">
        <v>231</v>
      </c>
      <c r="I191" s="1" t="s">
        <v>232</v>
      </c>
      <c r="J191" s="1" t="s">
        <v>1354</v>
      </c>
      <c r="K191" s="2">
        <v>45242</v>
      </c>
      <c r="L191" s="2" t="str">
        <f t="shared" si="29"/>
        <v>November</v>
      </c>
      <c r="M191" s="1" t="s">
        <v>1355</v>
      </c>
      <c r="N191" s="1" t="s">
        <v>583</v>
      </c>
      <c r="O191" s="1">
        <v>403.03</v>
      </c>
      <c r="P191" s="1">
        <v>2</v>
      </c>
      <c r="Q191" s="1">
        <f t="shared" si="30"/>
        <v>806.06</v>
      </c>
      <c r="R191" s="1" t="s">
        <v>29</v>
      </c>
      <c r="S191" s="1">
        <f t="shared" si="31"/>
        <v>64.484799999999993</v>
      </c>
      <c r="T191" s="1">
        <f t="shared" si="32"/>
        <v>741.5752</v>
      </c>
      <c r="U191" s="1">
        <v>4</v>
      </c>
      <c r="V191" s="1">
        <f t="shared" si="33"/>
        <v>811.5752</v>
      </c>
      <c r="W191" s="1">
        <v>70</v>
      </c>
      <c r="X191" s="2">
        <v>45246</v>
      </c>
      <c r="Y191" s="1" t="s">
        <v>1356</v>
      </c>
      <c r="Z191" s="1">
        <f t="shared" si="34"/>
        <v>876.06</v>
      </c>
      <c r="AA191" s="1">
        <f t="shared" si="35"/>
        <v>4</v>
      </c>
      <c r="AB191" s="1" t="str">
        <f t="shared" si="36"/>
        <v>Intime</v>
      </c>
      <c r="AC191" s="1">
        <f t="shared" si="37"/>
        <v>806.06</v>
      </c>
      <c r="AD191" s="7">
        <f t="shared" si="38"/>
        <v>0.08</v>
      </c>
      <c r="AE191" s="1">
        <f t="shared" si="39"/>
        <v>64.484799999999993</v>
      </c>
      <c r="AF191" s="1">
        <f t="shared" si="40"/>
        <v>134.48480000000001</v>
      </c>
    </row>
    <row r="192" spans="1:32" ht="14.25" customHeight="1" x14ac:dyDescent="0.3">
      <c r="A192" s="1" t="s">
        <v>632</v>
      </c>
      <c r="B192" s="1" t="s">
        <v>141</v>
      </c>
      <c r="C192" s="1" t="s">
        <v>633</v>
      </c>
      <c r="D192" s="1" t="str">
        <f t="shared" si="28"/>
        <v>Amy Ellis</v>
      </c>
      <c r="E192" s="1">
        <v>44</v>
      </c>
      <c r="F192" s="1" t="s">
        <v>45</v>
      </c>
      <c r="G192" s="1" t="s">
        <v>83</v>
      </c>
      <c r="H192" s="1" t="s">
        <v>634</v>
      </c>
      <c r="I192" s="1" t="s">
        <v>635</v>
      </c>
      <c r="J192" s="1" t="s">
        <v>1948</v>
      </c>
      <c r="K192" s="2">
        <v>45410</v>
      </c>
      <c r="L192" s="2" t="str">
        <f t="shared" si="29"/>
        <v>April</v>
      </c>
      <c r="M192" s="1" t="s">
        <v>1949</v>
      </c>
      <c r="N192" s="1" t="s">
        <v>583</v>
      </c>
      <c r="O192" s="1">
        <v>403.03</v>
      </c>
      <c r="P192" s="1">
        <v>2</v>
      </c>
      <c r="Q192" s="1">
        <f t="shared" si="30"/>
        <v>806.06</v>
      </c>
      <c r="R192" s="1" t="s">
        <v>51</v>
      </c>
      <c r="S192" s="1">
        <f t="shared" si="31"/>
        <v>120.90899999999999</v>
      </c>
      <c r="T192" s="1">
        <f t="shared" si="32"/>
        <v>685.15099999999995</v>
      </c>
      <c r="U192" s="1">
        <v>7</v>
      </c>
      <c r="V192" s="1">
        <f t="shared" si="33"/>
        <v>724.15099999999995</v>
      </c>
      <c r="W192" s="1">
        <v>39</v>
      </c>
      <c r="X192" s="2">
        <v>45417</v>
      </c>
      <c r="Y192" s="1" t="s">
        <v>1950</v>
      </c>
      <c r="Z192" s="1">
        <f t="shared" si="34"/>
        <v>845.06</v>
      </c>
      <c r="AA192" s="1">
        <f t="shared" si="35"/>
        <v>7</v>
      </c>
      <c r="AB192" s="1" t="str">
        <f t="shared" si="36"/>
        <v>Intime</v>
      </c>
      <c r="AC192" s="1">
        <f t="shared" si="37"/>
        <v>806.06</v>
      </c>
      <c r="AD192" s="7">
        <f t="shared" si="38"/>
        <v>0.15</v>
      </c>
      <c r="AE192" s="1">
        <f t="shared" si="39"/>
        <v>120.90899999999999</v>
      </c>
      <c r="AF192" s="1">
        <f t="shared" si="40"/>
        <v>159.90899999999999</v>
      </c>
    </row>
    <row r="193" spans="1:32" ht="14.25" customHeight="1" x14ac:dyDescent="0.3">
      <c r="A193" s="1" t="s">
        <v>265</v>
      </c>
      <c r="B193" s="1" t="s">
        <v>266</v>
      </c>
      <c r="C193" s="1" t="s">
        <v>267</v>
      </c>
      <c r="D193" s="1" t="str">
        <f t="shared" si="28"/>
        <v>Lauren Long</v>
      </c>
      <c r="E193" s="1">
        <v>44</v>
      </c>
      <c r="F193" s="1" t="s">
        <v>22</v>
      </c>
      <c r="G193" s="1" t="s">
        <v>213</v>
      </c>
      <c r="H193" s="1" t="s">
        <v>268</v>
      </c>
      <c r="I193" s="1" t="s">
        <v>269</v>
      </c>
      <c r="J193" s="1" t="s">
        <v>282</v>
      </c>
      <c r="K193" s="2">
        <v>45548</v>
      </c>
      <c r="L193" s="2" t="str">
        <f t="shared" si="29"/>
        <v>September</v>
      </c>
      <c r="M193" s="1" t="s">
        <v>283</v>
      </c>
      <c r="N193" s="1" t="s">
        <v>284</v>
      </c>
      <c r="O193" s="1">
        <v>158.53</v>
      </c>
      <c r="P193" s="1">
        <v>5</v>
      </c>
      <c r="Q193" s="1">
        <f t="shared" si="30"/>
        <v>792.65</v>
      </c>
      <c r="R193" s="1" t="s">
        <v>78</v>
      </c>
      <c r="S193" s="1">
        <f t="shared" si="31"/>
        <v>158.53</v>
      </c>
      <c r="T193" s="1">
        <f t="shared" si="32"/>
        <v>634.12</v>
      </c>
      <c r="U193" s="1">
        <v>3</v>
      </c>
      <c r="V193" s="1">
        <f t="shared" si="33"/>
        <v>676.12</v>
      </c>
      <c r="W193" s="1">
        <v>42</v>
      </c>
      <c r="X193" s="2">
        <v>45553</v>
      </c>
      <c r="Y193" s="1" t="s">
        <v>285</v>
      </c>
      <c r="Z193" s="1">
        <f t="shared" si="34"/>
        <v>834.65</v>
      </c>
      <c r="AA193" s="1">
        <f t="shared" si="35"/>
        <v>5</v>
      </c>
      <c r="AB193" s="1" t="str">
        <f t="shared" si="36"/>
        <v>Late</v>
      </c>
      <c r="AC193" s="1">
        <f t="shared" si="37"/>
        <v>792.65</v>
      </c>
      <c r="AD193" s="7">
        <f t="shared" si="38"/>
        <v>0.2</v>
      </c>
      <c r="AE193" s="1">
        <f t="shared" si="39"/>
        <v>158.53</v>
      </c>
      <c r="AF193" s="1">
        <f t="shared" si="40"/>
        <v>200.53</v>
      </c>
    </row>
    <row r="194" spans="1:32" ht="14.25" customHeight="1" x14ac:dyDescent="0.3">
      <c r="A194" s="1" t="s">
        <v>220</v>
      </c>
      <c r="B194" s="1" t="s">
        <v>221</v>
      </c>
      <c r="C194" s="1" t="s">
        <v>222</v>
      </c>
      <c r="D194" s="1" t="str">
        <f t="shared" ref="D194:D257" si="41">_xlfn.CONCAT(B194," ",C194)</f>
        <v>John Herrera</v>
      </c>
      <c r="E194" s="1">
        <v>64</v>
      </c>
      <c r="F194" s="1" t="s">
        <v>34</v>
      </c>
      <c r="G194" s="1" t="s">
        <v>35</v>
      </c>
      <c r="H194" s="1" t="s">
        <v>223</v>
      </c>
      <c r="I194" s="1" t="s">
        <v>224</v>
      </c>
      <c r="J194" s="1" t="s">
        <v>652</v>
      </c>
      <c r="K194" s="2">
        <v>45118</v>
      </c>
      <c r="L194" s="2" t="str">
        <f t="shared" ref="L194:L257" si="42">TEXT(K194,"mmmm")</f>
        <v>July</v>
      </c>
      <c r="M194" s="1" t="s">
        <v>653</v>
      </c>
      <c r="N194" s="1" t="s">
        <v>284</v>
      </c>
      <c r="O194" s="1">
        <v>158.53</v>
      </c>
      <c r="P194" s="1">
        <v>5</v>
      </c>
      <c r="Q194" s="1">
        <f t="shared" ref="Q194:Q257" si="43">O194*P194</f>
        <v>792.65</v>
      </c>
      <c r="R194" s="1" t="s">
        <v>78</v>
      </c>
      <c r="S194" s="1">
        <f t="shared" ref="S194:S257" si="44">IF(R194="FLAT8",O194*P194*8%,IF(R194="FLAT10",O194*P194*10%,IF(R194="FLAT15",O194*P194*15%,IF(R194="FLAT20",O194*P194*20%,0))))</f>
        <v>158.53</v>
      </c>
      <c r="T194" s="1">
        <f t="shared" ref="T194:T257" si="45">Q194-S194</f>
        <v>634.12</v>
      </c>
      <c r="U194" s="1">
        <v>1</v>
      </c>
      <c r="V194" s="1">
        <f t="shared" ref="V194:V257" si="46">T194+W194</f>
        <v>691.12</v>
      </c>
      <c r="W194" s="1">
        <v>57</v>
      </c>
      <c r="X194" s="2">
        <v>45125</v>
      </c>
      <c r="Y194" s="1" t="s">
        <v>654</v>
      </c>
      <c r="Z194" s="1">
        <f t="shared" ref="Z194:Z257" si="47">(O194*P194)+W194</f>
        <v>849.65</v>
      </c>
      <c r="AA194" s="1">
        <f t="shared" ref="AA194:AA257" si="48">X194-K194</f>
        <v>7</v>
      </c>
      <c r="AB194" s="1" t="str">
        <f t="shared" ref="AB194:AB257" si="49">IF(AA194&gt;U194,"Late",IF(AA194=U194,"Intime","BeforeTime"))</f>
        <v>Late</v>
      </c>
      <c r="AC194" s="1">
        <f t="shared" ref="AC194:AC257" si="50">O194*P194</f>
        <v>792.65</v>
      </c>
      <c r="AD194" s="7">
        <f t="shared" ref="AD194:AD257" si="51">IF(R194="FLAT8",8%,IF(R194="FLAT10",10%,IF(R194="FLAT15",15%,IF(R194="FLAT20",20%,0))))</f>
        <v>0.2</v>
      </c>
      <c r="AE194" s="1">
        <f t="shared" ref="AE194:AE257" si="52">Q194*AD194</f>
        <v>158.53</v>
      </c>
      <c r="AF194" s="1">
        <f t="shared" ref="AF194:AF257" si="53">IF(R194="DEL0",AE194,AE194+W194)</f>
        <v>215.53</v>
      </c>
    </row>
    <row r="195" spans="1:32" ht="14.25" customHeight="1" x14ac:dyDescent="0.3">
      <c r="A195" s="1" t="s">
        <v>80</v>
      </c>
      <c r="B195" s="1" t="s">
        <v>81</v>
      </c>
      <c r="C195" s="1" t="s">
        <v>82</v>
      </c>
      <c r="D195" s="1" t="str">
        <f t="shared" si="41"/>
        <v>David Delacruz</v>
      </c>
      <c r="E195" s="1">
        <v>26</v>
      </c>
      <c r="F195" s="1" t="s">
        <v>34</v>
      </c>
      <c r="G195" s="1" t="s">
        <v>83</v>
      </c>
      <c r="H195" s="1" t="s">
        <v>84</v>
      </c>
      <c r="I195" s="1" t="s">
        <v>85</v>
      </c>
      <c r="J195" s="1" t="s">
        <v>850</v>
      </c>
      <c r="K195" s="2">
        <v>45108</v>
      </c>
      <c r="L195" s="2" t="str">
        <f t="shared" si="42"/>
        <v>July</v>
      </c>
      <c r="M195" s="1" t="s">
        <v>851</v>
      </c>
      <c r="N195" s="1" t="s">
        <v>284</v>
      </c>
      <c r="O195" s="1">
        <v>158.53</v>
      </c>
      <c r="P195" s="1">
        <v>5</v>
      </c>
      <c r="Q195" s="1">
        <f t="shared" si="43"/>
        <v>792.65</v>
      </c>
      <c r="R195" s="1" t="s">
        <v>56</v>
      </c>
      <c r="S195" s="1">
        <f t="shared" si="44"/>
        <v>0</v>
      </c>
      <c r="T195" s="1">
        <f t="shared" si="45"/>
        <v>792.65</v>
      </c>
      <c r="U195" s="1">
        <v>4</v>
      </c>
      <c r="V195" s="1">
        <f t="shared" si="46"/>
        <v>858.65</v>
      </c>
      <c r="W195" s="1">
        <v>66</v>
      </c>
      <c r="X195" s="2">
        <v>45111</v>
      </c>
      <c r="Y195" s="1" t="s">
        <v>852</v>
      </c>
      <c r="Z195" s="1">
        <f t="shared" si="47"/>
        <v>858.65</v>
      </c>
      <c r="AA195" s="1">
        <f t="shared" si="48"/>
        <v>3</v>
      </c>
      <c r="AB195" s="1" t="str">
        <f t="shared" si="49"/>
        <v>BeforeTime</v>
      </c>
      <c r="AC195" s="1">
        <f t="shared" si="50"/>
        <v>792.65</v>
      </c>
      <c r="AD195" s="7">
        <f t="shared" si="51"/>
        <v>0</v>
      </c>
      <c r="AE195" s="1">
        <f t="shared" si="52"/>
        <v>0</v>
      </c>
      <c r="AF195" s="1">
        <f t="shared" si="53"/>
        <v>0</v>
      </c>
    </row>
    <row r="196" spans="1:32" ht="14.25" customHeight="1" x14ac:dyDescent="0.3">
      <c r="A196" s="1" t="s">
        <v>58</v>
      </c>
      <c r="B196" s="1" t="s">
        <v>59</v>
      </c>
      <c r="C196" s="1" t="s">
        <v>60</v>
      </c>
      <c r="D196" s="1" t="str">
        <f t="shared" si="41"/>
        <v>Angela Horne</v>
      </c>
      <c r="E196" s="1">
        <v>49</v>
      </c>
      <c r="F196" s="1" t="s">
        <v>45</v>
      </c>
      <c r="G196" s="1" t="s">
        <v>23</v>
      </c>
      <c r="H196" s="1" t="s">
        <v>61</v>
      </c>
      <c r="I196" s="1" t="s">
        <v>62</v>
      </c>
      <c r="J196" s="1" t="s">
        <v>1116</v>
      </c>
      <c r="K196" s="2">
        <v>45578</v>
      </c>
      <c r="L196" s="2" t="str">
        <f t="shared" si="42"/>
        <v>October</v>
      </c>
      <c r="M196" s="1" t="s">
        <v>1117</v>
      </c>
      <c r="N196" s="1" t="s">
        <v>284</v>
      </c>
      <c r="O196" s="1">
        <v>158.53</v>
      </c>
      <c r="P196" s="1">
        <v>5</v>
      </c>
      <c r="Q196" s="1">
        <f t="shared" si="43"/>
        <v>792.65</v>
      </c>
      <c r="R196" s="1" t="s">
        <v>29</v>
      </c>
      <c r="S196" s="1">
        <f t="shared" si="44"/>
        <v>63.411999999999999</v>
      </c>
      <c r="T196" s="1">
        <f t="shared" si="45"/>
        <v>729.23799999999994</v>
      </c>
      <c r="U196" s="1">
        <v>2</v>
      </c>
      <c r="V196" s="1">
        <f t="shared" si="46"/>
        <v>793.23799999999994</v>
      </c>
      <c r="W196" s="1">
        <v>64</v>
      </c>
      <c r="X196" s="2">
        <v>45582</v>
      </c>
      <c r="Y196" s="1" t="s">
        <v>1118</v>
      </c>
      <c r="Z196" s="1">
        <f t="shared" si="47"/>
        <v>856.65</v>
      </c>
      <c r="AA196" s="1">
        <f t="shared" si="48"/>
        <v>4</v>
      </c>
      <c r="AB196" s="1" t="str">
        <f t="shared" si="49"/>
        <v>Late</v>
      </c>
      <c r="AC196" s="1">
        <f t="shared" si="50"/>
        <v>792.65</v>
      </c>
      <c r="AD196" s="7">
        <f t="shared" si="51"/>
        <v>0.08</v>
      </c>
      <c r="AE196" s="1">
        <f t="shared" si="52"/>
        <v>63.411999999999999</v>
      </c>
      <c r="AF196" s="1">
        <f t="shared" si="53"/>
        <v>127.41200000000001</v>
      </c>
    </row>
    <row r="197" spans="1:32" ht="14.25" customHeight="1" x14ac:dyDescent="0.3">
      <c r="A197" s="1" t="s">
        <v>1466</v>
      </c>
      <c r="B197" s="1" t="s">
        <v>586</v>
      </c>
      <c r="C197" s="1" t="s">
        <v>1467</v>
      </c>
      <c r="D197" s="1" t="str">
        <f t="shared" si="41"/>
        <v>William Richmond</v>
      </c>
      <c r="E197" s="1">
        <v>57</v>
      </c>
      <c r="F197" s="1" t="s">
        <v>45</v>
      </c>
      <c r="G197" s="1" t="s">
        <v>133</v>
      </c>
      <c r="H197" s="1" t="s">
        <v>1468</v>
      </c>
      <c r="I197" s="1" t="s">
        <v>1469</v>
      </c>
      <c r="J197" s="1" t="s">
        <v>1470</v>
      </c>
      <c r="K197" s="2">
        <v>45147</v>
      </c>
      <c r="L197" s="2" t="str">
        <f t="shared" si="42"/>
        <v>August</v>
      </c>
      <c r="M197" s="1" t="s">
        <v>1471</v>
      </c>
      <c r="N197" s="1" t="s">
        <v>284</v>
      </c>
      <c r="O197" s="1">
        <v>158.53</v>
      </c>
      <c r="P197" s="1">
        <v>5</v>
      </c>
      <c r="Q197" s="1">
        <f t="shared" si="43"/>
        <v>792.65</v>
      </c>
      <c r="R197" s="1" t="s">
        <v>78</v>
      </c>
      <c r="S197" s="1">
        <f t="shared" si="44"/>
        <v>158.53</v>
      </c>
      <c r="T197" s="1">
        <f t="shared" si="45"/>
        <v>634.12</v>
      </c>
      <c r="U197" s="1">
        <v>1</v>
      </c>
      <c r="V197" s="1">
        <f t="shared" si="46"/>
        <v>680.12</v>
      </c>
      <c r="W197" s="1">
        <v>46</v>
      </c>
      <c r="X197" s="2">
        <v>45151</v>
      </c>
      <c r="Y197" s="1" t="s">
        <v>1472</v>
      </c>
      <c r="Z197" s="1">
        <f t="shared" si="47"/>
        <v>838.65</v>
      </c>
      <c r="AA197" s="1">
        <f t="shared" si="48"/>
        <v>4</v>
      </c>
      <c r="AB197" s="1" t="str">
        <f t="shared" si="49"/>
        <v>Late</v>
      </c>
      <c r="AC197" s="1">
        <f t="shared" si="50"/>
        <v>792.65</v>
      </c>
      <c r="AD197" s="7">
        <f t="shared" si="51"/>
        <v>0.2</v>
      </c>
      <c r="AE197" s="1">
        <f t="shared" si="52"/>
        <v>158.53</v>
      </c>
      <c r="AF197" s="1">
        <f t="shared" si="53"/>
        <v>204.53</v>
      </c>
    </row>
    <row r="198" spans="1:32" ht="14.25" customHeight="1" x14ac:dyDescent="0.3">
      <c r="A198" s="1" t="s">
        <v>229</v>
      </c>
      <c r="B198" s="1" t="s">
        <v>59</v>
      </c>
      <c r="C198" s="1" t="s">
        <v>230</v>
      </c>
      <c r="D198" s="1" t="str">
        <f t="shared" si="41"/>
        <v>Angela Evans</v>
      </c>
      <c r="E198" s="1">
        <v>52</v>
      </c>
      <c r="F198" s="1" t="s">
        <v>45</v>
      </c>
      <c r="G198" s="1" t="s">
        <v>35</v>
      </c>
      <c r="H198" s="1" t="s">
        <v>231</v>
      </c>
      <c r="I198" s="1" t="s">
        <v>232</v>
      </c>
      <c r="J198" s="1" t="s">
        <v>303</v>
      </c>
      <c r="K198" s="2">
        <v>45244</v>
      </c>
      <c r="L198" s="2" t="str">
        <f t="shared" si="42"/>
        <v>November</v>
      </c>
      <c r="M198" s="1" t="s">
        <v>304</v>
      </c>
      <c r="N198" s="1" t="s">
        <v>280</v>
      </c>
      <c r="O198" s="1">
        <v>157.63999999999999</v>
      </c>
      <c r="P198" s="1">
        <v>5</v>
      </c>
      <c r="Q198" s="1">
        <f t="shared" si="43"/>
        <v>788.19999999999993</v>
      </c>
      <c r="R198" s="1" t="s">
        <v>29</v>
      </c>
      <c r="S198" s="1">
        <f t="shared" si="44"/>
        <v>63.055999999999997</v>
      </c>
      <c r="T198" s="1">
        <f t="shared" si="45"/>
        <v>725.14399999999989</v>
      </c>
      <c r="U198" s="1">
        <v>4</v>
      </c>
      <c r="V198" s="1">
        <f t="shared" si="46"/>
        <v>778.14399999999989</v>
      </c>
      <c r="W198" s="1">
        <v>53</v>
      </c>
      <c r="X198" s="2">
        <v>45246</v>
      </c>
      <c r="Y198" s="1" t="s">
        <v>305</v>
      </c>
      <c r="Z198" s="1">
        <f t="shared" si="47"/>
        <v>841.19999999999993</v>
      </c>
      <c r="AA198" s="1">
        <f t="shared" si="48"/>
        <v>2</v>
      </c>
      <c r="AB198" s="1" t="str">
        <f t="shared" si="49"/>
        <v>BeforeTime</v>
      </c>
      <c r="AC198" s="1">
        <f t="shared" si="50"/>
        <v>788.19999999999993</v>
      </c>
      <c r="AD198" s="7">
        <f t="shared" si="51"/>
        <v>0.08</v>
      </c>
      <c r="AE198" s="1">
        <f t="shared" si="52"/>
        <v>63.055999999999997</v>
      </c>
      <c r="AF198" s="1">
        <f t="shared" si="53"/>
        <v>116.056</v>
      </c>
    </row>
    <row r="199" spans="1:32" ht="14.25" customHeight="1" x14ac:dyDescent="0.3">
      <c r="A199" s="1" t="s">
        <v>743</v>
      </c>
      <c r="B199" s="1" t="s">
        <v>744</v>
      </c>
      <c r="C199" s="1" t="s">
        <v>745</v>
      </c>
      <c r="D199" s="1" t="str">
        <f t="shared" si="41"/>
        <v>Barbara Fuller</v>
      </c>
      <c r="E199" s="1">
        <v>43</v>
      </c>
      <c r="F199" s="1" t="s">
        <v>45</v>
      </c>
      <c r="G199" s="1" t="s">
        <v>152</v>
      </c>
      <c r="H199" s="1" t="s">
        <v>746</v>
      </c>
      <c r="I199" s="1" t="s">
        <v>747</v>
      </c>
      <c r="J199" s="1" t="s">
        <v>847</v>
      </c>
      <c r="K199" s="2">
        <v>45331</v>
      </c>
      <c r="L199" s="2" t="str">
        <f t="shared" si="42"/>
        <v>February</v>
      </c>
      <c r="M199" s="1" t="s">
        <v>848</v>
      </c>
      <c r="N199" s="1" t="s">
        <v>280</v>
      </c>
      <c r="O199" s="1">
        <v>157.63999999999999</v>
      </c>
      <c r="P199" s="1">
        <v>5</v>
      </c>
      <c r="Q199" s="1">
        <f t="shared" si="43"/>
        <v>788.19999999999993</v>
      </c>
      <c r="R199" s="1" t="s">
        <v>56</v>
      </c>
      <c r="S199" s="1">
        <f t="shared" si="44"/>
        <v>0</v>
      </c>
      <c r="T199" s="1">
        <f t="shared" si="45"/>
        <v>788.19999999999993</v>
      </c>
      <c r="U199" s="1">
        <v>7</v>
      </c>
      <c r="V199" s="1">
        <f t="shared" si="46"/>
        <v>824.19999999999993</v>
      </c>
      <c r="W199" s="1">
        <v>36</v>
      </c>
      <c r="X199" s="2">
        <v>45332</v>
      </c>
      <c r="Y199" s="1" t="s">
        <v>849</v>
      </c>
      <c r="Z199" s="1">
        <f t="shared" si="47"/>
        <v>824.19999999999993</v>
      </c>
      <c r="AA199" s="1">
        <f t="shared" si="48"/>
        <v>1</v>
      </c>
      <c r="AB199" s="1" t="str">
        <f t="shared" si="49"/>
        <v>BeforeTime</v>
      </c>
      <c r="AC199" s="1">
        <f t="shared" si="50"/>
        <v>788.19999999999993</v>
      </c>
      <c r="AD199" s="7">
        <f t="shared" si="51"/>
        <v>0</v>
      </c>
      <c r="AE199" s="1">
        <f t="shared" si="52"/>
        <v>0</v>
      </c>
      <c r="AF199" s="1">
        <f t="shared" si="53"/>
        <v>0</v>
      </c>
    </row>
    <row r="200" spans="1:32" ht="14.25" customHeight="1" x14ac:dyDescent="0.3">
      <c r="A200" s="1" t="s">
        <v>318</v>
      </c>
      <c r="B200" s="1" t="s">
        <v>319</v>
      </c>
      <c r="C200" s="1" t="s">
        <v>320</v>
      </c>
      <c r="D200" s="1" t="str">
        <f t="shared" si="41"/>
        <v>Courtney Parker</v>
      </c>
      <c r="E200" s="1">
        <v>29</v>
      </c>
      <c r="F200" s="1" t="s">
        <v>45</v>
      </c>
      <c r="G200" s="1" t="s">
        <v>83</v>
      </c>
      <c r="H200" s="1" t="s">
        <v>321</v>
      </c>
      <c r="I200" s="1" t="s">
        <v>322</v>
      </c>
      <c r="J200" s="1" t="s">
        <v>1714</v>
      </c>
      <c r="K200" s="2">
        <v>45295</v>
      </c>
      <c r="L200" s="2" t="str">
        <f t="shared" si="42"/>
        <v>January</v>
      </c>
      <c r="M200" s="1" t="s">
        <v>1715</v>
      </c>
      <c r="N200" s="1" t="s">
        <v>280</v>
      </c>
      <c r="O200" s="1">
        <v>157.63999999999999</v>
      </c>
      <c r="P200" s="1">
        <v>5</v>
      </c>
      <c r="Q200" s="1">
        <f t="shared" si="43"/>
        <v>788.19999999999993</v>
      </c>
      <c r="R200" s="1" t="s">
        <v>29</v>
      </c>
      <c r="S200" s="1">
        <f t="shared" si="44"/>
        <v>63.055999999999997</v>
      </c>
      <c r="T200" s="1">
        <f t="shared" si="45"/>
        <v>725.14399999999989</v>
      </c>
      <c r="U200" s="1">
        <v>2</v>
      </c>
      <c r="V200" s="1">
        <f t="shared" si="46"/>
        <v>771.14399999999989</v>
      </c>
      <c r="W200" s="1">
        <v>46</v>
      </c>
      <c r="X200" s="2">
        <v>45301</v>
      </c>
      <c r="Y200" s="1" t="s">
        <v>1716</v>
      </c>
      <c r="Z200" s="1">
        <f t="shared" si="47"/>
        <v>834.19999999999993</v>
      </c>
      <c r="AA200" s="1">
        <f t="shared" si="48"/>
        <v>6</v>
      </c>
      <c r="AB200" s="1" t="str">
        <f t="shared" si="49"/>
        <v>Late</v>
      </c>
      <c r="AC200" s="1">
        <f t="shared" si="50"/>
        <v>788.19999999999993</v>
      </c>
      <c r="AD200" s="7">
        <f t="shared" si="51"/>
        <v>0.08</v>
      </c>
      <c r="AE200" s="1">
        <f t="shared" si="52"/>
        <v>63.055999999999997</v>
      </c>
      <c r="AF200" s="1">
        <f t="shared" si="53"/>
        <v>109.056</v>
      </c>
    </row>
    <row r="201" spans="1:32" ht="14.25" customHeight="1" x14ac:dyDescent="0.3">
      <c r="A201" s="1" t="s">
        <v>112</v>
      </c>
      <c r="B201" s="1" t="s">
        <v>113</v>
      </c>
      <c r="C201" s="1" t="s">
        <v>114</v>
      </c>
      <c r="D201" s="1" t="str">
        <f t="shared" si="41"/>
        <v>Bobby Forbes</v>
      </c>
      <c r="E201" s="1">
        <v>20</v>
      </c>
      <c r="F201" s="1" t="s">
        <v>22</v>
      </c>
      <c r="G201" s="1" t="s">
        <v>83</v>
      </c>
      <c r="H201" s="1" t="s">
        <v>115</v>
      </c>
      <c r="I201" s="1" t="s">
        <v>116</v>
      </c>
      <c r="J201" s="1" t="s">
        <v>117</v>
      </c>
      <c r="K201" s="2">
        <v>45498</v>
      </c>
      <c r="L201" s="2" t="str">
        <f t="shared" si="42"/>
        <v>July</v>
      </c>
      <c r="M201" s="1" t="s">
        <v>118</v>
      </c>
      <c r="N201" s="1" t="s">
        <v>119</v>
      </c>
      <c r="O201" s="1">
        <v>257.06</v>
      </c>
      <c r="P201" s="1">
        <v>3</v>
      </c>
      <c r="Q201" s="1">
        <f t="shared" si="43"/>
        <v>771.18000000000006</v>
      </c>
      <c r="R201" s="1" t="s">
        <v>56</v>
      </c>
      <c r="S201" s="1">
        <f t="shared" si="44"/>
        <v>0</v>
      </c>
      <c r="T201" s="1">
        <f t="shared" si="45"/>
        <v>771.18000000000006</v>
      </c>
      <c r="U201" s="1">
        <v>7</v>
      </c>
      <c r="V201" s="1">
        <f t="shared" si="46"/>
        <v>833.18000000000006</v>
      </c>
      <c r="W201" s="1">
        <v>62</v>
      </c>
      <c r="X201" s="2">
        <v>45499</v>
      </c>
      <c r="Y201" s="1" t="s">
        <v>120</v>
      </c>
      <c r="Z201" s="1">
        <f t="shared" si="47"/>
        <v>833.18000000000006</v>
      </c>
      <c r="AA201" s="1">
        <f t="shared" si="48"/>
        <v>1</v>
      </c>
      <c r="AB201" s="1" t="str">
        <f t="shared" si="49"/>
        <v>BeforeTime</v>
      </c>
      <c r="AC201" s="1">
        <f t="shared" si="50"/>
        <v>771.18000000000006</v>
      </c>
      <c r="AD201" s="7">
        <f t="shared" si="51"/>
        <v>0</v>
      </c>
      <c r="AE201" s="1">
        <f t="shared" si="52"/>
        <v>0</v>
      </c>
      <c r="AF201" s="1">
        <f t="shared" si="53"/>
        <v>0</v>
      </c>
    </row>
    <row r="202" spans="1:32" ht="14.25" customHeight="1" x14ac:dyDescent="0.3">
      <c r="A202" s="1" t="s">
        <v>177</v>
      </c>
      <c r="B202" s="1" t="s">
        <v>178</v>
      </c>
      <c r="C202" s="1" t="s">
        <v>179</v>
      </c>
      <c r="D202" s="1" t="str">
        <f t="shared" si="41"/>
        <v>Mallory Mitchell</v>
      </c>
      <c r="E202" s="1">
        <v>42</v>
      </c>
      <c r="F202" s="1" t="s">
        <v>34</v>
      </c>
      <c r="G202" s="1" t="s">
        <v>161</v>
      </c>
      <c r="H202" s="1" t="s">
        <v>180</v>
      </c>
      <c r="I202" s="1" t="s">
        <v>181</v>
      </c>
      <c r="J202" s="1" t="s">
        <v>853</v>
      </c>
      <c r="K202" s="2">
        <v>45283</v>
      </c>
      <c r="L202" s="2" t="str">
        <f t="shared" si="42"/>
        <v>December</v>
      </c>
      <c r="M202" s="1" t="s">
        <v>854</v>
      </c>
      <c r="N202" s="1" t="s">
        <v>119</v>
      </c>
      <c r="O202" s="1">
        <v>257.06</v>
      </c>
      <c r="P202" s="1">
        <v>3</v>
      </c>
      <c r="Q202" s="1">
        <f t="shared" si="43"/>
        <v>771.18000000000006</v>
      </c>
      <c r="R202" s="1" t="s">
        <v>29</v>
      </c>
      <c r="S202" s="1">
        <f t="shared" si="44"/>
        <v>61.694400000000009</v>
      </c>
      <c r="T202" s="1">
        <f t="shared" si="45"/>
        <v>709.48560000000009</v>
      </c>
      <c r="U202" s="1">
        <v>6</v>
      </c>
      <c r="V202" s="1">
        <f t="shared" si="46"/>
        <v>774.48560000000009</v>
      </c>
      <c r="W202" s="1">
        <v>65</v>
      </c>
      <c r="X202" s="2">
        <v>45289</v>
      </c>
      <c r="Y202" s="1" t="s">
        <v>855</v>
      </c>
      <c r="Z202" s="1">
        <f t="shared" si="47"/>
        <v>836.18000000000006</v>
      </c>
      <c r="AA202" s="1">
        <f t="shared" si="48"/>
        <v>6</v>
      </c>
      <c r="AB202" s="1" t="str">
        <f t="shared" si="49"/>
        <v>Intime</v>
      </c>
      <c r="AC202" s="1">
        <f t="shared" si="50"/>
        <v>771.18000000000006</v>
      </c>
      <c r="AD202" s="7">
        <f t="shared" si="51"/>
        <v>0.08</v>
      </c>
      <c r="AE202" s="1">
        <f t="shared" si="52"/>
        <v>61.694400000000009</v>
      </c>
      <c r="AF202" s="1">
        <f t="shared" si="53"/>
        <v>126.6944</v>
      </c>
    </row>
    <row r="203" spans="1:32" ht="14.25" customHeight="1" x14ac:dyDescent="0.3">
      <c r="A203" s="1" t="s">
        <v>265</v>
      </c>
      <c r="B203" s="1" t="s">
        <v>266</v>
      </c>
      <c r="C203" s="1" t="s">
        <v>267</v>
      </c>
      <c r="D203" s="1" t="str">
        <f t="shared" si="41"/>
        <v>Lauren Long</v>
      </c>
      <c r="E203" s="1">
        <v>44</v>
      </c>
      <c r="F203" s="1" t="s">
        <v>22</v>
      </c>
      <c r="G203" s="1" t="s">
        <v>213</v>
      </c>
      <c r="H203" s="1" t="s">
        <v>268</v>
      </c>
      <c r="I203" s="1" t="s">
        <v>269</v>
      </c>
      <c r="J203" s="1" t="s">
        <v>1169</v>
      </c>
      <c r="K203" s="2">
        <v>45348</v>
      </c>
      <c r="L203" s="2" t="str">
        <f t="shared" si="42"/>
        <v>February</v>
      </c>
      <c r="M203" s="1" t="s">
        <v>1170</v>
      </c>
      <c r="N203" s="1" t="s">
        <v>119</v>
      </c>
      <c r="O203" s="1">
        <v>257.06</v>
      </c>
      <c r="P203" s="1">
        <v>3</v>
      </c>
      <c r="Q203" s="1">
        <f t="shared" si="43"/>
        <v>771.18000000000006</v>
      </c>
      <c r="R203" s="1" t="s">
        <v>56</v>
      </c>
      <c r="S203" s="1">
        <f t="shared" si="44"/>
        <v>0</v>
      </c>
      <c r="T203" s="1">
        <f t="shared" si="45"/>
        <v>771.18000000000006</v>
      </c>
      <c r="U203" s="1">
        <v>5</v>
      </c>
      <c r="V203" s="1">
        <f t="shared" si="46"/>
        <v>834.18000000000006</v>
      </c>
      <c r="W203" s="1">
        <v>63</v>
      </c>
      <c r="X203" s="2">
        <v>45354</v>
      </c>
      <c r="Y203" s="1" t="s">
        <v>1171</v>
      </c>
      <c r="Z203" s="1">
        <f t="shared" si="47"/>
        <v>834.18000000000006</v>
      </c>
      <c r="AA203" s="1">
        <f t="shared" si="48"/>
        <v>6</v>
      </c>
      <c r="AB203" s="1" t="str">
        <f t="shared" si="49"/>
        <v>Late</v>
      </c>
      <c r="AC203" s="1">
        <f t="shared" si="50"/>
        <v>771.18000000000006</v>
      </c>
      <c r="AD203" s="7">
        <f t="shared" si="51"/>
        <v>0</v>
      </c>
      <c r="AE203" s="1">
        <f t="shared" si="52"/>
        <v>0</v>
      </c>
      <c r="AF203" s="1">
        <f t="shared" si="53"/>
        <v>0</v>
      </c>
    </row>
    <row r="204" spans="1:32" ht="14.25" customHeight="1" x14ac:dyDescent="0.3">
      <c r="A204" s="1" t="s">
        <v>149</v>
      </c>
      <c r="B204" s="1" t="s">
        <v>150</v>
      </c>
      <c r="C204" s="1" t="s">
        <v>151</v>
      </c>
      <c r="D204" s="1" t="str">
        <f t="shared" si="41"/>
        <v>Joshua Campbell</v>
      </c>
      <c r="E204" s="1">
        <v>24</v>
      </c>
      <c r="F204" s="1" t="s">
        <v>22</v>
      </c>
      <c r="G204" s="1" t="s">
        <v>152</v>
      </c>
      <c r="H204" s="1" t="s">
        <v>153</v>
      </c>
      <c r="I204" s="1" t="s">
        <v>154</v>
      </c>
      <c r="J204" s="1" t="s">
        <v>777</v>
      </c>
      <c r="K204" s="2">
        <v>45003</v>
      </c>
      <c r="L204" s="2" t="str">
        <f t="shared" si="42"/>
        <v>March</v>
      </c>
      <c r="M204" s="1" t="s">
        <v>778</v>
      </c>
      <c r="N204" s="1" t="s">
        <v>741</v>
      </c>
      <c r="O204" s="1">
        <v>381.73</v>
      </c>
      <c r="P204" s="1">
        <v>2</v>
      </c>
      <c r="Q204" s="1">
        <f t="shared" si="43"/>
        <v>763.46</v>
      </c>
      <c r="R204" s="1" t="s">
        <v>56</v>
      </c>
      <c r="S204" s="1">
        <f t="shared" si="44"/>
        <v>0</v>
      </c>
      <c r="T204" s="1">
        <f t="shared" si="45"/>
        <v>763.46</v>
      </c>
      <c r="U204" s="1">
        <v>6</v>
      </c>
      <c r="V204" s="1">
        <f t="shared" si="46"/>
        <v>804.46</v>
      </c>
      <c r="W204" s="1">
        <v>41</v>
      </c>
      <c r="X204" s="2">
        <v>45008</v>
      </c>
      <c r="Y204" s="1" t="s">
        <v>779</v>
      </c>
      <c r="Z204" s="1">
        <f t="shared" si="47"/>
        <v>804.46</v>
      </c>
      <c r="AA204" s="1">
        <f t="shared" si="48"/>
        <v>5</v>
      </c>
      <c r="AB204" s="1" t="str">
        <f t="shared" si="49"/>
        <v>BeforeTime</v>
      </c>
      <c r="AC204" s="1">
        <f t="shared" si="50"/>
        <v>763.46</v>
      </c>
      <c r="AD204" s="7">
        <f t="shared" si="51"/>
        <v>0</v>
      </c>
      <c r="AE204" s="1">
        <f t="shared" si="52"/>
        <v>0</v>
      </c>
      <c r="AF204" s="1">
        <f t="shared" si="53"/>
        <v>0</v>
      </c>
    </row>
    <row r="205" spans="1:32" ht="14.25" customHeight="1" x14ac:dyDescent="0.3">
      <c r="A205" s="1" t="s">
        <v>639</v>
      </c>
      <c r="B205" s="1" t="s">
        <v>640</v>
      </c>
      <c r="C205" s="1" t="s">
        <v>641</v>
      </c>
      <c r="D205" s="1" t="str">
        <f t="shared" si="41"/>
        <v>Beth Mason</v>
      </c>
      <c r="E205" s="1">
        <v>45</v>
      </c>
      <c r="F205" s="1" t="s">
        <v>45</v>
      </c>
      <c r="G205" s="1" t="s">
        <v>83</v>
      </c>
      <c r="H205" s="1" t="s">
        <v>642</v>
      </c>
      <c r="I205" s="1" t="s">
        <v>643</v>
      </c>
      <c r="J205" s="1" t="s">
        <v>1020</v>
      </c>
      <c r="K205" s="2">
        <v>45060</v>
      </c>
      <c r="L205" s="2" t="str">
        <f t="shared" si="42"/>
        <v>May</v>
      </c>
      <c r="M205" s="1" t="s">
        <v>1021</v>
      </c>
      <c r="N205" s="1" t="s">
        <v>741</v>
      </c>
      <c r="O205" s="1">
        <v>381.73</v>
      </c>
      <c r="P205" s="1">
        <v>2</v>
      </c>
      <c r="Q205" s="1">
        <f t="shared" si="43"/>
        <v>763.46</v>
      </c>
      <c r="R205" s="1" t="s">
        <v>56</v>
      </c>
      <c r="S205" s="1">
        <f t="shared" si="44"/>
        <v>0</v>
      </c>
      <c r="T205" s="1">
        <f t="shared" si="45"/>
        <v>763.46</v>
      </c>
      <c r="U205" s="1">
        <v>5</v>
      </c>
      <c r="V205" s="1">
        <f t="shared" si="46"/>
        <v>801.46</v>
      </c>
      <c r="W205" s="1">
        <v>38</v>
      </c>
      <c r="X205" s="2">
        <v>45066</v>
      </c>
      <c r="Y205" s="1" t="s">
        <v>1022</v>
      </c>
      <c r="Z205" s="1">
        <f t="shared" si="47"/>
        <v>801.46</v>
      </c>
      <c r="AA205" s="1">
        <f t="shared" si="48"/>
        <v>6</v>
      </c>
      <c r="AB205" s="1" t="str">
        <f t="shared" si="49"/>
        <v>Late</v>
      </c>
      <c r="AC205" s="1">
        <f t="shared" si="50"/>
        <v>763.46</v>
      </c>
      <c r="AD205" s="7">
        <f t="shared" si="51"/>
        <v>0</v>
      </c>
      <c r="AE205" s="1">
        <f t="shared" si="52"/>
        <v>0</v>
      </c>
      <c r="AF205" s="1">
        <f t="shared" si="53"/>
        <v>0</v>
      </c>
    </row>
    <row r="206" spans="1:32" ht="14.25" customHeight="1" x14ac:dyDescent="0.3">
      <c r="A206" s="1" t="s">
        <v>256</v>
      </c>
      <c r="B206" s="1" t="s">
        <v>257</v>
      </c>
      <c r="C206" s="1" t="s">
        <v>258</v>
      </c>
      <c r="D206" s="1" t="str">
        <f t="shared" si="41"/>
        <v>Taylor Davis</v>
      </c>
      <c r="E206" s="1">
        <v>54</v>
      </c>
      <c r="F206" s="1" t="s">
        <v>34</v>
      </c>
      <c r="G206" s="1" t="s">
        <v>23</v>
      </c>
      <c r="H206" s="1" t="s">
        <v>259</v>
      </c>
      <c r="I206" s="1" t="s">
        <v>260</v>
      </c>
      <c r="J206" s="1" t="s">
        <v>1128</v>
      </c>
      <c r="K206" s="2">
        <v>45105</v>
      </c>
      <c r="L206" s="2" t="str">
        <f t="shared" si="42"/>
        <v>June</v>
      </c>
      <c r="M206" s="1" t="s">
        <v>1129</v>
      </c>
      <c r="N206" s="1" t="s">
        <v>741</v>
      </c>
      <c r="O206" s="1">
        <v>381.73</v>
      </c>
      <c r="P206" s="1">
        <v>2</v>
      </c>
      <c r="Q206" s="1">
        <f t="shared" si="43"/>
        <v>763.46</v>
      </c>
      <c r="R206" s="1" t="s">
        <v>51</v>
      </c>
      <c r="S206" s="1">
        <f t="shared" si="44"/>
        <v>114.51900000000001</v>
      </c>
      <c r="T206" s="1">
        <f t="shared" si="45"/>
        <v>648.94100000000003</v>
      </c>
      <c r="U206" s="1">
        <v>3</v>
      </c>
      <c r="V206" s="1">
        <f t="shared" si="46"/>
        <v>718.94100000000003</v>
      </c>
      <c r="W206" s="1">
        <v>70</v>
      </c>
      <c r="X206" s="2">
        <v>45112</v>
      </c>
      <c r="Y206" s="1" t="s">
        <v>1130</v>
      </c>
      <c r="Z206" s="1">
        <f t="shared" si="47"/>
        <v>833.46</v>
      </c>
      <c r="AA206" s="1">
        <f t="shared" si="48"/>
        <v>7</v>
      </c>
      <c r="AB206" s="1" t="str">
        <f t="shared" si="49"/>
        <v>Late</v>
      </c>
      <c r="AC206" s="1">
        <f t="shared" si="50"/>
        <v>763.46</v>
      </c>
      <c r="AD206" s="7">
        <f t="shared" si="51"/>
        <v>0.15</v>
      </c>
      <c r="AE206" s="1">
        <f t="shared" si="52"/>
        <v>114.51900000000001</v>
      </c>
      <c r="AF206" s="1">
        <f t="shared" si="53"/>
        <v>184.51900000000001</v>
      </c>
    </row>
    <row r="207" spans="1:32" ht="14.25" customHeight="1" x14ac:dyDescent="0.3">
      <c r="A207" s="1" t="s">
        <v>405</v>
      </c>
      <c r="B207" s="1" t="s">
        <v>221</v>
      </c>
      <c r="C207" s="1" t="s">
        <v>406</v>
      </c>
      <c r="D207" s="1" t="str">
        <f t="shared" si="41"/>
        <v>John Ramirez</v>
      </c>
      <c r="E207" s="1">
        <v>28</v>
      </c>
      <c r="F207" s="1" t="s">
        <v>45</v>
      </c>
      <c r="G207" s="1" t="s">
        <v>133</v>
      </c>
      <c r="H207" s="1" t="s">
        <v>407</v>
      </c>
      <c r="I207" s="1" t="s">
        <v>408</v>
      </c>
      <c r="J207" s="1" t="s">
        <v>1228</v>
      </c>
      <c r="K207" s="2">
        <v>45322</v>
      </c>
      <c r="L207" s="2" t="str">
        <f t="shared" si="42"/>
        <v>January</v>
      </c>
      <c r="M207" s="1" t="s">
        <v>1229</v>
      </c>
      <c r="N207" s="1" t="s">
        <v>741</v>
      </c>
      <c r="O207" s="1">
        <v>381.73</v>
      </c>
      <c r="P207" s="1">
        <v>2</v>
      </c>
      <c r="Q207" s="1">
        <f t="shared" si="43"/>
        <v>763.46</v>
      </c>
      <c r="R207" s="1" t="s">
        <v>51</v>
      </c>
      <c r="S207" s="1">
        <f t="shared" si="44"/>
        <v>114.51900000000001</v>
      </c>
      <c r="T207" s="1">
        <f t="shared" si="45"/>
        <v>648.94100000000003</v>
      </c>
      <c r="U207" s="1">
        <v>2</v>
      </c>
      <c r="V207" s="1">
        <f t="shared" si="46"/>
        <v>716.94100000000003</v>
      </c>
      <c r="W207" s="1">
        <v>68</v>
      </c>
      <c r="X207" s="2">
        <v>45329</v>
      </c>
      <c r="Y207" s="1" t="s">
        <v>1230</v>
      </c>
      <c r="Z207" s="1">
        <f t="shared" si="47"/>
        <v>831.46</v>
      </c>
      <c r="AA207" s="1">
        <f t="shared" si="48"/>
        <v>7</v>
      </c>
      <c r="AB207" s="1" t="str">
        <f t="shared" si="49"/>
        <v>Late</v>
      </c>
      <c r="AC207" s="1">
        <f t="shared" si="50"/>
        <v>763.46</v>
      </c>
      <c r="AD207" s="7">
        <f t="shared" si="51"/>
        <v>0.15</v>
      </c>
      <c r="AE207" s="1">
        <f t="shared" si="52"/>
        <v>114.51900000000001</v>
      </c>
      <c r="AF207" s="1">
        <f t="shared" si="53"/>
        <v>182.51900000000001</v>
      </c>
    </row>
    <row r="208" spans="1:32" ht="14.25" customHeight="1" x14ac:dyDescent="0.3">
      <c r="A208" s="1" t="s">
        <v>1335</v>
      </c>
      <c r="B208" s="1" t="s">
        <v>501</v>
      </c>
      <c r="C208" s="1" t="s">
        <v>1336</v>
      </c>
      <c r="D208" s="1" t="str">
        <f t="shared" si="41"/>
        <v>Sarah Benson</v>
      </c>
      <c r="E208" s="1">
        <v>40</v>
      </c>
      <c r="F208" s="1" t="s">
        <v>45</v>
      </c>
      <c r="G208" s="1" t="s">
        <v>213</v>
      </c>
      <c r="H208" s="1" t="s">
        <v>1337</v>
      </c>
      <c r="I208" s="1" t="s">
        <v>1338</v>
      </c>
      <c r="J208" s="1" t="s">
        <v>1662</v>
      </c>
      <c r="K208" s="2">
        <v>45040</v>
      </c>
      <c r="L208" s="2" t="str">
        <f t="shared" si="42"/>
        <v>April</v>
      </c>
      <c r="M208" s="1" t="s">
        <v>1663</v>
      </c>
      <c r="N208" s="1" t="s">
        <v>337</v>
      </c>
      <c r="O208" s="1">
        <v>372.62</v>
      </c>
      <c r="P208" s="1">
        <v>2</v>
      </c>
      <c r="Q208" s="1">
        <f t="shared" si="43"/>
        <v>745.24</v>
      </c>
      <c r="R208" s="1" t="s">
        <v>78</v>
      </c>
      <c r="S208" s="1">
        <f t="shared" si="44"/>
        <v>149.048</v>
      </c>
      <c r="T208" s="1">
        <f t="shared" si="45"/>
        <v>596.19200000000001</v>
      </c>
      <c r="U208" s="1">
        <v>2</v>
      </c>
      <c r="V208" s="1">
        <f t="shared" si="46"/>
        <v>643.19200000000001</v>
      </c>
      <c r="W208" s="1">
        <v>47</v>
      </c>
      <c r="X208" s="2">
        <v>45041</v>
      </c>
      <c r="Y208" s="1" t="s">
        <v>1664</v>
      </c>
      <c r="Z208" s="1">
        <f t="shared" si="47"/>
        <v>792.24</v>
      </c>
      <c r="AA208" s="1">
        <f t="shared" si="48"/>
        <v>1</v>
      </c>
      <c r="AB208" s="1" t="str">
        <f t="shared" si="49"/>
        <v>BeforeTime</v>
      </c>
      <c r="AC208" s="1">
        <f t="shared" si="50"/>
        <v>745.24</v>
      </c>
      <c r="AD208" s="7">
        <f t="shared" si="51"/>
        <v>0.2</v>
      </c>
      <c r="AE208" s="1">
        <f t="shared" si="52"/>
        <v>149.048</v>
      </c>
      <c r="AF208" s="1">
        <f t="shared" si="53"/>
        <v>196.048</v>
      </c>
    </row>
    <row r="209" spans="1:32" ht="14.25" customHeight="1" x14ac:dyDescent="0.3">
      <c r="A209" s="1" t="s">
        <v>717</v>
      </c>
      <c r="B209" s="1" t="s">
        <v>718</v>
      </c>
      <c r="C209" s="1" t="s">
        <v>160</v>
      </c>
      <c r="D209" s="1" t="str">
        <f t="shared" si="41"/>
        <v>Lisa Miller</v>
      </c>
      <c r="E209" s="1">
        <v>70</v>
      </c>
      <c r="F209" s="1" t="s">
        <v>34</v>
      </c>
      <c r="G209" s="1" t="s">
        <v>83</v>
      </c>
      <c r="H209" s="1" t="s">
        <v>719</v>
      </c>
      <c r="I209" s="1" t="s">
        <v>720</v>
      </c>
      <c r="J209" s="1" t="s">
        <v>1865</v>
      </c>
      <c r="K209" s="2">
        <v>45379</v>
      </c>
      <c r="L209" s="2" t="str">
        <f t="shared" si="42"/>
        <v>March</v>
      </c>
      <c r="M209" s="1" t="s">
        <v>1866</v>
      </c>
      <c r="N209" s="1" t="s">
        <v>337</v>
      </c>
      <c r="O209" s="1">
        <v>372.62</v>
      </c>
      <c r="P209" s="1">
        <v>2</v>
      </c>
      <c r="Q209" s="1">
        <f t="shared" si="43"/>
        <v>745.24</v>
      </c>
      <c r="R209" s="1" t="s">
        <v>89</v>
      </c>
      <c r="S209" s="1">
        <f t="shared" si="44"/>
        <v>74.524000000000001</v>
      </c>
      <c r="T209" s="1">
        <f t="shared" si="45"/>
        <v>670.71600000000001</v>
      </c>
      <c r="U209" s="1">
        <v>4</v>
      </c>
      <c r="V209" s="1">
        <f t="shared" si="46"/>
        <v>727.71600000000001</v>
      </c>
      <c r="W209" s="1">
        <v>57</v>
      </c>
      <c r="X209" s="2">
        <v>45382</v>
      </c>
      <c r="Y209" s="1" t="s">
        <v>1867</v>
      </c>
      <c r="Z209" s="1">
        <f t="shared" si="47"/>
        <v>802.24</v>
      </c>
      <c r="AA209" s="1">
        <f t="shared" si="48"/>
        <v>3</v>
      </c>
      <c r="AB209" s="1" t="str">
        <f t="shared" si="49"/>
        <v>BeforeTime</v>
      </c>
      <c r="AC209" s="1">
        <f t="shared" si="50"/>
        <v>745.24</v>
      </c>
      <c r="AD209" s="7">
        <f t="shared" si="51"/>
        <v>0.1</v>
      </c>
      <c r="AE209" s="1">
        <f t="shared" si="52"/>
        <v>74.524000000000001</v>
      </c>
      <c r="AF209" s="1">
        <f t="shared" si="53"/>
        <v>131.524</v>
      </c>
    </row>
    <row r="210" spans="1:32" ht="14.25" customHeight="1" x14ac:dyDescent="0.3">
      <c r="A210" s="1" t="s">
        <v>294</v>
      </c>
      <c r="B210" s="1" t="s">
        <v>295</v>
      </c>
      <c r="C210" s="1" t="s">
        <v>296</v>
      </c>
      <c r="D210" s="1" t="str">
        <f t="shared" si="41"/>
        <v>Valerie Carr</v>
      </c>
      <c r="E210" s="1">
        <v>26</v>
      </c>
      <c r="F210" s="1" t="s">
        <v>45</v>
      </c>
      <c r="G210" s="1" t="s">
        <v>161</v>
      </c>
      <c r="H210" s="1" t="s">
        <v>297</v>
      </c>
      <c r="I210" s="1" t="s">
        <v>298</v>
      </c>
      <c r="J210" s="1" t="s">
        <v>421</v>
      </c>
      <c r="K210" s="2">
        <v>45312</v>
      </c>
      <c r="L210" s="2" t="str">
        <f t="shared" si="42"/>
        <v>January</v>
      </c>
      <c r="M210" s="1" t="s">
        <v>422</v>
      </c>
      <c r="N210" s="1" t="s">
        <v>423</v>
      </c>
      <c r="O210" s="1">
        <v>369.03</v>
      </c>
      <c r="P210" s="1">
        <v>2</v>
      </c>
      <c r="Q210" s="1">
        <f t="shared" si="43"/>
        <v>738.06</v>
      </c>
      <c r="R210" s="1" t="s">
        <v>89</v>
      </c>
      <c r="S210" s="1">
        <f t="shared" si="44"/>
        <v>73.805999999999997</v>
      </c>
      <c r="T210" s="1">
        <f t="shared" si="45"/>
        <v>664.25399999999991</v>
      </c>
      <c r="U210" s="1">
        <v>4</v>
      </c>
      <c r="V210" s="1">
        <f t="shared" si="46"/>
        <v>710.25399999999991</v>
      </c>
      <c r="W210" s="1">
        <v>46</v>
      </c>
      <c r="X210" s="2">
        <v>45318</v>
      </c>
      <c r="Y210" s="1" t="s">
        <v>424</v>
      </c>
      <c r="Z210" s="1">
        <f t="shared" si="47"/>
        <v>784.06</v>
      </c>
      <c r="AA210" s="1">
        <f t="shared" si="48"/>
        <v>6</v>
      </c>
      <c r="AB210" s="1" t="str">
        <f t="shared" si="49"/>
        <v>Late</v>
      </c>
      <c r="AC210" s="1">
        <f t="shared" si="50"/>
        <v>738.06</v>
      </c>
      <c r="AD210" s="7">
        <f t="shared" si="51"/>
        <v>0.1</v>
      </c>
      <c r="AE210" s="1">
        <f t="shared" si="52"/>
        <v>73.805999999999997</v>
      </c>
      <c r="AF210" s="1">
        <f t="shared" si="53"/>
        <v>119.806</v>
      </c>
    </row>
    <row r="211" spans="1:32" ht="14.25" customHeight="1" x14ac:dyDescent="0.3">
      <c r="A211" s="1" t="s">
        <v>743</v>
      </c>
      <c r="B211" s="1" t="s">
        <v>744</v>
      </c>
      <c r="C211" s="1" t="s">
        <v>745</v>
      </c>
      <c r="D211" s="1" t="str">
        <f t="shared" si="41"/>
        <v>Barbara Fuller</v>
      </c>
      <c r="E211" s="1">
        <v>43</v>
      </c>
      <c r="F211" s="1" t="s">
        <v>45</v>
      </c>
      <c r="G211" s="1" t="s">
        <v>152</v>
      </c>
      <c r="H211" s="1" t="s">
        <v>746</v>
      </c>
      <c r="I211" s="1" t="s">
        <v>747</v>
      </c>
      <c r="J211" s="1" t="s">
        <v>1614</v>
      </c>
      <c r="K211" s="2">
        <v>44978</v>
      </c>
      <c r="L211" s="2" t="str">
        <f t="shared" si="42"/>
        <v>February</v>
      </c>
      <c r="M211" s="1" t="s">
        <v>1615</v>
      </c>
      <c r="N211" s="1" t="s">
        <v>423</v>
      </c>
      <c r="O211" s="1">
        <v>369.03</v>
      </c>
      <c r="P211" s="1">
        <v>2</v>
      </c>
      <c r="Q211" s="1">
        <f t="shared" si="43"/>
        <v>738.06</v>
      </c>
      <c r="R211" s="1" t="s">
        <v>89</v>
      </c>
      <c r="S211" s="1">
        <f t="shared" si="44"/>
        <v>73.805999999999997</v>
      </c>
      <c r="T211" s="1">
        <f t="shared" si="45"/>
        <v>664.25399999999991</v>
      </c>
      <c r="U211" s="1">
        <v>6</v>
      </c>
      <c r="V211" s="1">
        <f t="shared" si="46"/>
        <v>719.25399999999991</v>
      </c>
      <c r="W211" s="1">
        <v>55</v>
      </c>
      <c r="X211" s="2">
        <v>44981</v>
      </c>
      <c r="Y211" s="1" t="s">
        <v>1616</v>
      </c>
      <c r="Z211" s="1">
        <f t="shared" si="47"/>
        <v>793.06</v>
      </c>
      <c r="AA211" s="1">
        <f t="shared" si="48"/>
        <v>3</v>
      </c>
      <c r="AB211" s="1" t="str">
        <f t="shared" si="49"/>
        <v>BeforeTime</v>
      </c>
      <c r="AC211" s="1">
        <f t="shared" si="50"/>
        <v>738.06</v>
      </c>
      <c r="AD211" s="7">
        <f t="shared" si="51"/>
        <v>0.1</v>
      </c>
      <c r="AE211" s="1">
        <f t="shared" si="52"/>
        <v>73.805999999999997</v>
      </c>
      <c r="AF211" s="1">
        <f t="shared" si="53"/>
        <v>128.80599999999998</v>
      </c>
    </row>
    <row r="212" spans="1:32" ht="14.25" customHeight="1" x14ac:dyDescent="0.3">
      <c r="A212" s="1" t="s">
        <v>248</v>
      </c>
      <c r="B212" s="1" t="s">
        <v>249</v>
      </c>
      <c r="C212" s="1" t="s">
        <v>250</v>
      </c>
      <c r="D212" s="1" t="str">
        <f t="shared" si="41"/>
        <v>Ashley Rose</v>
      </c>
      <c r="E212" s="1">
        <v>60</v>
      </c>
      <c r="F212" s="1" t="s">
        <v>45</v>
      </c>
      <c r="G212" s="1" t="s">
        <v>23</v>
      </c>
      <c r="H212" s="1" t="s">
        <v>251</v>
      </c>
      <c r="I212" s="1" t="s">
        <v>252</v>
      </c>
      <c r="J212" s="1" t="s">
        <v>253</v>
      </c>
      <c r="K212" s="2">
        <v>44987</v>
      </c>
      <c r="L212" s="2" t="str">
        <f t="shared" si="42"/>
        <v>March</v>
      </c>
      <c r="M212" s="1" t="s">
        <v>254</v>
      </c>
      <c r="N212" s="1" t="s">
        <v>88</v>
      </c>
      <c r="O212" s="1">
        <v>363.64</v>
      </c>
      <c r="P212" s="1">
        <v>2</v>
      </c>
      <c r="Q212" s="1">
        <f t="shared" si="43"/>
        <v>727.28</v>
      </c>
      <c r="R212" s="1" t="s">
        <v>51</v>
      </c>
      <c r="S212" s="1">
        <f t="shared" si="44"/>
        <v>109.092</v>
      </c>
      <c r="T212" s="1">
        <f t="shared" si="45"/>
        <v>618.18799999999999</v>
      </c>
      <c r="U212" s="1">
        <v>1</v>
      </c>
      <c r="V212" s="1">
        <f t="shared" si="46"/>
        <v>661.18799999999999</v>
      </c>
      <c r="W212" s="1">
        <v>43</v>
      </c>
      <c r="X212" s="2">
        <v>44988</v>
      </c>
      <c r="Y212" s="1" t="s">
        <v>255</v>
      </c>
      <c r="Z212" s="1">
        <f t="shared" si="47"/>
        <v>770.28</v>
      </c>
      <c r="AA212" s="1">
        <f t="shared" si="48"/>
        <v>1</v>
      </c>
      <c r="AB212" s="1" t="str">
        <f t="shared" si="49"/>
        <v>Intime</v>
      </c>
      <c r="AC212" s="1">
        <f t="shared" si="50"/>
        <v>727.28</v>
      </c>
      <c r="AD212" s="7">
        <f t="shared" si="51"/>
        <v>0.15</v>
      </c>
      <c r="AE212" s="1">
        <f t="shared" si="52"/>
        <v>109.092</v>
      </c>
      <c r="AF212" s="1">
        <f t="shared" si="53"/>
        <v>152.09199999999998</v>
      </c>
    </row>
    <row r="213" spans="1:32" ht="14.25" customHeight="1" x14ac:dyDescent="0.3">
      <c r="A213" s="1" t="s">
        <v>500</v>
      </c>
      <c r="B213" s="1" t="s">
        <v>501</v>
      </c>
      <c r="C213" s="1" t="s">
        <v>502</v>
      </c>
      <c r="D213" s="1" t="str">
        <f t="shared" si="41"/>
        <v>Sarah Butler</v>
      </c>
      <c r="E213" s="1">
        <v>64</v>
      </c>
      <c r="F213" s="1" t="s">
        <v>22</v>
      </c>
      <c r="G213" s="1" t="s">
        <v>23</v>
      </c>
      <c r="H213" s="1" t="s">
        <v>503</v>
      </c>
      <c r="I213" s="1" t="s">
        <v>504</v>
      </c>
      <c r="J213" s="1" t="s">
        <v>912</v>
      </c>
      <c r="K213" s="2">
        <v>45089</v>
      </c>
      <c r="L213" s="2" t="str">
        <f t="shared" si="42"/>
        <v>June</v>
      </c>
      <c r="M213" s="1" t="s">
        <v>913</v>
      </c>
      <c r="N213" s="1" t="s">
        <v>88</v>
      </c>
      <c r="O213" s="1">
        <v>363.64</v>
      </c>
      <c r="P213" s="1">
        <v>2</v>
      </c>
      <c r="Q213" s="1">
        <f t="shared" si="43"/>
        <v>727.28</v>
      </c>
      <c r="R213" s="1" t="s">
        <v>56</v>
      </c>
      <c r="S213" s="1">
        <f t="shared" si="44"/>
        <v>0</v>
      </c>
      <c r="T213" s="1">
        <f t="shared" si="45"/>
        <v>727.28</v>
      </c>
      <c r="U213" s="1">
        <v>4</v>
      </c>
      <c r="V213" s="1">
        <f t="shared" si="46"/>
        <v>767.28</v>
      </c>
      <c r="W213" s="1">
        <v>40</v>
      </c>
      <c r="X213" s="2">
        <v>45091</v>
      </c>
      <c r="Y213" s="1" t="s">
        <v>914</v>
      </c>
      <c r="Z213" s="1">
        <f t="shared" si="47"/>
        <v>767.28</v>
      </c>
      <c r="AA213" s="1">
        <f t="shared" si="48"/>
        <v>2</v>
      </c>
      <c r="AB213" s="1" t="str">
        <f t="shared" si="49"/>
        <v>BeforeTime</v>
      </c>
      <c r="AC213" s="1">
        <f t="shared" si="50"/>
        <v>727.28</v>
      </c>
      <c r="AD213" s="7">
        <f t="shared" si="51"/>
        <v>0</v>
      </c>
      <c r="AE213" s="1">
        <f t="shared" si="52"/>
        <v>0</v>
      </c>
      <c r="AF213" s="1">
        <f t="shared" si="53"/>
        <v>0</v>
      </c>
    </row>
    <row r="214" spans="1:32" ht="14.25" customHeight="1" x14ac:dyDescent="0.3">
      <c r="A214" s="1" t="s">
        <v>202</v>
      </c>
      <c r="B214" s="1" t="s">
        <v>203</v>
      </c>
      <c r="C214" s="1" t="s">
        <v>204</v>
      </c>
      <c r="D214" s="1" t="str">
        <f t="shared" si="41"/>
        <v>Christian Clayton</v>
      </c>
      <c r="E214" s="1">
        <v>39</v>
      </c>
      <c r="F214" s="1" t="s">
        <v>34</v>
      </c>
      <c r="G214" s="1" t="s">
        <v>152</v>
      </c>
      <c r="H214" s="1" t="s">
        <v>205</v>
      </c>
      <c r="I214" s="1" t="s">
        <v>206</v>
      </c>
      <c r="J214" s="1" t="s">
        <v>1119</v>
      </c>
      <c r="K214" s="2">
        <v>45541</v>
      </c>
      <c r="L214" s="2" t="str">
        <f t="shared" si="42"/>
        <v>September</v>
      </c>
      <c r="M214" s="1" t="s">
        <v>1120</v>
      </c>
      <c r="N214" s="1" t="s">
        <v>88</v>
      </c>
      <c r="O214" s="1">
        <v>363.64</v>
      </c>
      <c r="P214" s="1">
        <v>2</v>
      </c>
      <c r="Q214" s="1">
        <f t="shared" si="43"/>
        <v>727.28</v>
      </c>
      <c r="R214" s="1" t="s">
        <v>78</v>
      </c>
      <c r="S214" s="1">
        <f t="shared" si="44"/>
        <v>145.45599999999999</v>
      </c>
      <c r="T214" s="1">
        <f t="shared" si="45"/>
        <v>581.82399999999996</v>
      </c>
      <c r="U214" s="1">
        <v>6</v>
      </c>
      <c r="V214" s="1">
        <f t="shared" si="46"/>
        <v>618.82399999999996</v>
      </c>
      <c r="W214" s="1">
        <v>37</v>
      </c>
      <c r="X214" s="2">
        <v>45544</v>
      </c>
      <c r="Y214" s="1" t="s">
        <v>1121</v>
      </c>
      <c r="Z214" s="1">
        <f t="shared" si="47"/>
        <v>764.28</v>
      </c>
      <c r="AA214" s="1">
        <f t="shared" si="48"/>
        <v>3</v>
      </c>
      <c r="AB214" s="1" t="str">
        <f t="shared" si="49"/>
        <v>BeforeTime</v>
      </c>
      <c r="AC214" s="1">
        <f t="shared" si="50"/>
        <v>727.28</v>
      </c>
      <c r="AD214" s="7">
        <f t="shared" si="51"/>
        <v>0.2</v>
      </c>
      <c r="AE214" s="1">
        <f t="shared" si="52"/>
        <v>145.45599999999999</v>
      </c>
      <c r="AF214" s="1">
        <f t="shared" si="53"/>
        <v>182.45599999999999</v>
      </c>
    </row>
    <row r="215" spans="1:32" ht="14.25" customHeight="1" x14ac:dyDescent="0.3">
      <c r="A215" s="1" t="s">
        <v>709</v>
      </c>
      <c r="B215" s="1" t="s">
        <v>710</v>
      </c>
      <c r="C215" s="1" t="s">
        <v>711</v>
      </c>
      <c r="D215" s="1" t="str">
        <f t="shared" si="41"/>
        <v>Bruce Allen</v>
      </c>
      <c r="E215" s="1">
        <v>32</v>
      </c>
      <c r="F215" s="1" t="s">
        <v>34</v>
      </c>
      <c r="G215" s="1" t="s">
        <v>23</v>
      </c>
      <c r="H215" s="1" t="s">
        <v>712</v>
      </c>
      <c r="I215" s="1" t="s">
        <v>713</v>
      </c>
      <c r="J215" s="1" t="s">
        <v>996</v>
      </c>
      <c r="K215" s="2">
        <v>45343</v>
      </c>
      <c r="L215" s="2" t="str">
        <f t="shared" si="42"/>
        <v>February</v>
      </c>
      <c r="M215" s="1" t="s">
        <v>997</v>
      </c>
      <c r="N215" s="1" t="s">
        <v>650</v>
      </c>
      <c r="O215" s="1">
        <v>235.63</v>
      </c>
      <c r="P215" s="1">
        <v>3</v>
      </c>
      <c r="Q215" s="1">
        <f t="shared" si="43"/>
        <v>706.89</v>
      </c>
      <c r="R215" s="1" t="s">
        <v>89</v>
      </c>
      <c r="S215" s="1">
        <f t="shared" si="44"/>
        <v>70.689000000000007</v>
      </c>
      <c r="T215" s="1">
        <f t="shared" si="45"/>
        <v>636.20100000000002</v>
      </c>
      <c r="U215" s="1">
        <v>5</v>
      </c>
      <c r="V215" s="1">
        <f t="shared" si="46"/>
        <v>680.20100000000002</v>
      </c>
      <c r="W215" s="1">
        <v>44</v>
      </c>
      <c r="X215" s="2">
        <v>45347</v>
      </c>
      <c r="Y215" s="1" t="s">
        <v>998</v>
      </c>
      <c r="Z215" s="1">
        <f t="shared" si="47"/>
        <v>750.89</v>
      </c>
      <c r="AA215" s="1">
        <f t="shared" si="48"/>
        <v>4</v>
      </c>
      <c r="AB215" s="1" t="str">
        <f t="shared" si="49"/>
        <v>BeforeTime</v>
      </c>
      <c r="AC215" s="1">
        <f t="shared" si="50"/>
        <v>706.89</v>
      </c>
      <c r="AD215" s="7">
        <f t="shared" si="51"/>
        <v>0.1</v>
      </c>
      <c r="AE215" s="1">
        <f t="shared" si="52"/>
        <v>70.689000000000007</v>
      </c>
      <c r="AF215" s="1">
        <f t="shared" si="53"/>
        <v>114.68900000000001</v>
      </c>
    </row>
    <row r="216" spans="1:32" ht="14.25" customHeight="1" x14ac:dyDescent="0.3">
      <c r="A216" s="1" t="s">
        <v>1607</v>
      </c>
      <c r="B216" s="1" t="s">
        <v>266</v>
      </c>
      <c r="C216" s="1" t="s">
        <v>1608</v>
      </c>
      <c r="D216" s="1" t="str">
        <f t="shared" si="41"/>
        <v>Lauren Crane</v>
      </c>
      <c r="E216" s="1">
        <v>62</v>
      </c>
      <c r="F216" s="1" t="s">
        <v>34</v>
      </c>
      <c r="G216" s="1" t="s">
        <v>35</v>
      </c>
      <c r="H216" s="1" t="s">
        <v>1609</v>
      </c>
      <c r="I216" s="1" t="s">
        <v>1610</v>
      </c>
      <c r="J216" s="1" t="s">
        <v>1939</v>
      </c>
      <c r="K216" s="2">
        <v>45393</v>
      </c>
      <c r="L216" s="2" t="str">
        <f t="shared" si="42"/>
        <v>April</v>
      </c>
      <c r="M216" s="1" t="s">
        <v>1940</v>
      </c>
      <c r="N216" s="1" t="s">
        <v>650</v>
      </c>
      <c r="O216" s="1">
        <v>235.63</v>
      </c>
      <c r="P216" s="1">
        <v>3</v>
      </c>
      <c r="Q216" s="1">
        <f t="shared" si="43"/>
        <v>706.89</v>
      </c>
      <c r="R216" s="1" t="s">
        <v>56</v>
      </c>
      <c r="S216" s="1">
        <f t="shared" si="44"/>
        <v>0</v>
      </c>
      <c r="T216" s="1">
        <f t="shared" si="45"/>
        <v>706.89</v>
      </c>
      <c r="U216" s="1">
        <v>6</v>
      </c>
      <c r="V216" s="1">
        <f t="shared" si="46"/>
        <v>747.89</v>
      </c>
      <c r="W216" s="1">
        <v>41</v>
      </c>
      <c r="X216" s="2">
        <v>45398</v>
      </c>
      <c r="Y216" s="1" t="s">
        <v>1941</v>
      </c>
      <c r="Z216" s="1">
        <f t="shared" si="47"/>
        <v>747.89</v>
      </c>
      <c r="AA216" s="1">
        <f t="shared" si="48"/>
        <v>5</v>
      </c>
      <c r="AB216" s="1" t="str">
        <f t="shared" si="49"/>
        <v>BeforeTime</v>
      </c>
      <c r="AC216" s="1">
        <f t="shared" si="50"/>
        <v>706.89</v>
      </c>
      <c r="AD216" s="7">
        <f t="shared" si="51"/>
        <v>0</v>
      </c>
      <c r="AE216" s="1">
        <f t="shared" si="52"/>
        <v>0</v>
      </c>
      <c r="AF216" s="1">
        <f t="shared" si="53"/>
        <v>0</v>
      </c>
    </row>
    <row r="217" spans="1:32" ht="14.25" customHeight="1" x14ac:dyDescent="0.3">
      <c r="A217" s="1" t="s">
        <v>121</v>
      </c>
      <c r="B217" s="1" t="s">
        <v>122</v>
      </c>
      <c r="C217" s="1" t="s">
        <v>123</v>
      </c>
      <c r="D217" s="1" t="str">
        <f t="shared" si="41"/>
        <v>Joseph Stewart</v>
      </c>
      <c r="E217" s="1">
        <v>30</v>
      </c>
      <c r="F217" s="1" t="s">
        <v>34</v>
      </c>
      <c r="G217" s="1" t="s">
        <v>35</v>
      </c>
      <c r="H217" s="1" t="s">
        <v>124</v>
      </c>
      <c r="I217" s="1" t="s">
        <v>125</v>
      </c>
      <c r="J217" s="1" t="s">
        <v>126</v>
      </c>
      <c r="K217" s="2">
        <v>44997</v>
      </c>
      <c r="L217" s="2" t="str">
        <f t="shared" si="42"/>
        <v>March</v>
      </c>
      <c r="M217" s="1" t="s">
        <v>127</v>
      </c>
      <c r="N217" s="1" t="s">
        <v>128</v>
      </c>
      <c r="O217" s="1">
        <v>175.93</v>
      </c>
      <c r="P217" s="1">
        <v>4</v>
      </c>
      <c r="Q217" s="1">
        <f t="shared" si="43"/>
        <v>703.72</v>
      </c>
      <c r="R217" s="1" t="s">
        <v>29</v>
      </c>
      <c r="S217" s="1">
        <f t="shared" si="44"/>
        <v>56.297600000000003</v>
      </c>
      <c r="T217" s="1">
        <f t="shared" si="45"/>
        <v>647.42240000000004</v>
      </c>
      <c r="U217" s="1">
        <v>3</v>
      </c>
      <c r="V217" s="1">
        <f t="shared" si="46"/>
        <v>712.42240000000004</v>
      </c>
      <c r="W217" s="1">
        <v>65</v>
      </c>
      <c r="X217" s="2">
        <v>44999</v>
      </c>
      <c r="Y217" s="1" t="s">
        <v>129</v>
      </c>
      <c r="Z217" s="1">
        <f t="shared" si="47"/>
        <v>768.72</v>
      </c>
      <c r="AA217" s="1">
        <f t="shared" si="48"/>
        <v>2</v>
      </c>
      <c r="AB217" s="1" t="str">
        <f t="shared" si="49"/>
        <v>BeforeTime</v>
      </c>
      <c r="AC217" s="1">
        <f t="shared" si="50"/>
        <v>703.72</v>
      </c>
      <c r="AD217" s="7">
        <f t="shared" si="51"/>
        <v>0.08</v>
      </c>
      <c r="AE217" s="1">
        <f t="shared" si="52"/>
        <v>56.297600000000003</v>
      </c>
      <c r="AF217" s="1">
        <f t="shared" si="53"/>
        <v>121.2976</v>
      </c>
    </row>
    <row r="218" spans="1:32" ht="14.25" customHeight="1" x14ac:dyDescent="0.3">
      <c r="A218" s="1" t="s">
        <v>130</v>
      </c>
      <c r="B218" s="1" t="s">
        <v>131</v>
      </c>
      <c r="C218" s="1" t="s">
        <v>132</v>
      </c>
      <c r="D218" s="1" t="str">
        <f t="shared" si="41"/>
        <v>Kara Brennan</v>
      </c>
      <c r="E218" s="1">
        <v>25</v>
      </c>
      <c r="F218" s="1" t="s">
        <v>45</v>
      </c>
      <c r="G218" s="1" t="s">
        <v>133</v>
      </c>
      <c r="H218" s="1" t="s">
        <v>134</v>
      </c>
      <c r="I218" s="1" t="s">
        <v>135</v>
      </c>
      <c r="J218" s="1" t="s">
        <v>1363</v>
      </c>
      <c r="K218" s="2">
        <v>45090</v>
      </c>
      <c r="L218" s="2" t="str">
        <f t="shared" si="42"/>
        <v>June</v>
      </c>
      <c r="M218" s="1" t="s">
        <v>1364</v>
      </c>
      <c r="N218" s="1" t="s">
        <v>128</v>
      </c>
      <c r="O218" s="1">
        <v>175.93</v>
      </c>
      <c r="P218" s="1">
        <v>4</v>
      </c>
      <c r="Q218" s="1">
        <f t="shared" si="43"/>
        <v>703.72</v>
      </c>
      <c r="R218" s="1" t="s">
        <v>78</v>
      </c>
      <c r="S218" s="1">
        <f t="shared" si="44"/>
        <v>140.744</v>
      </c>
      <c r="T218" s="1">
        <f t="shared" si="45"/>
        <v>562.976</v>
      </c>
      <c r="U218" s="1">
        <v>6</v>
      </c>
      <c r="V218" s="1">
        <f t="shared" si="46"/>
        <v>607.976</v>
      </c>
      <c r="W218" s="1">
        <v>45</v>
      </c>
      <c r="X218" s="2">
        <v>45097</v>
      </c>
      <c r="Y218" s="1" t="s">
        <v>1365</v>
      </c>
      <c r="Z218" s="1">
        <f t="shared" si="47"/>
        <v>748.72</v>
      </c>
      <c r="AA218" s="1">
        <f t="shared" si="48"/>
        <v>7</v>
      </c>
      <c r="AB218" s="1" t="str">
        <f t="shared" si="49"/>
        <v>Late</v>
      </c>
      <c r="AC218" s="1">
        <f t="shared" si="50"/>
        <v>703.72</v>
      </c>
      <c r="AD218" s="7">
        <f t="shared" si="51"/>
        <v>0.2</v>
      </c>
      <c r="AE218" s="1">
        <f t="shared" si="52"/>
        <v>140.744</v>
      </c>
      <c r="AF218" s="1">
        <f t="shared" si="53"/>
        <v>185.744</v>
      </c>
    </row>
    <row r="219" spans="1:32" ht="14.25" customHeight="1" x14ac:dyDescent="0.3">
      <c r="A219" s="1" t="s">
        <v>698</v>
      </c>
      <c r="B219" s="1" t="s">
        <v>699</v>
      </c>
      <c r="C219" s="1" t="s">
        <v>700</v>
      </c>
      <c r="D219" s="1" t="str">
        <f t="shared" si="41"/>
        <v>Gregory Lee</v>
      </c>
      <c r="E219" s="1">
        <v>26</v>
      </c>
      <c r="F219" s="1" t="s">
        <v>45</v>
      </c>
      <c r="G219" s="1" t="s">
        <v>69</v>
      </c>
      <c r="H219" s="1" t="s">
        <v>701</v>
      </c>
      <c r="I219" s="1" t="s">
        <v>702</v>
      </c>
      <c r="J219" s="1" t="s">
        <v>1656</v>
      </c>
      <c r="K219" s="2">
        <v>45238</v>
      </c>
      <c r="L219" s="2" t="str">
        <f t="shared" si="42"/>
        <v>November</v>
      </c>
      <c r="M219" s="1" t="s">
        <v>1657</v>
      </c>
      <c r="N219" s="1" t="s">
        <v>128</v>
      </c>
      <c r="O219" s="1">
        <v>175.93</v>
      </c>
      <c r="P219" s="1">
        <v>4</v>
      </c>
      <c r="Q219" s="1">
        <f t="shared" si="43"/>
        <v>703.72</v>
      </c>
      <c r="R219" s="1" t="s">
        <v>78</v>
      </c>
      <c r="S219" s="1">
        <f t="shared" si="44"/>
        <v>140.744</v>
      </c>
      <c r="T219" s="1">
        <f t="shared" si="45"/>
        <v>562.976</v>
      </c>
      <c r="U219" s="1">
        <v>6</v>
      </c>
      <c r="V219" s="1">
        <f t="shared" si="46"/>
        <v>616.976</v>
      </c>
      <c r="W219" s="1">
        <v>54</v>
      </c>
      <c r="X219" s="2">
        <v>45240</v>
      </c>
      <c r="Y219" s="1" t="s">
        <v>1658</v>
      </c>
      <c r="Z219" s="1">
        <f t="shared" si="47"/>
        <v>757.72</v>
      </c>
      <c r="AA219" s="1">
        <f t="shared" si="48"/>
        <v>2</v>
      </c>
      <c r="AB219" s="1" t="str">
        <f t="shared" si="49"/>
        <v>BeforeTime</v>
      </c>
      <c r="AC219" s="1">
        <f t="shared" si="50"/>
        <v>703.72</v>
      </c>
      <c r="AD219" s="7">
        <f t="shared" si="51"/>
        <v>0.2</v>
      </c>
      <c r="AE219" s="1">
        <f t="shared" si="52"/>
        <v>140.744</v>
      </c>
      <c r="AF219" s="1">
        <f t="shared" si="53"/>
        <v>194.744</v>
      </c>
    </row>
    <row r="220" spans="1:32" ht="14.25" customHeight="1" x14ac:dyDescent="0.3">
      <c r="A220" s="1" t="s">
        <v>500</v>
      </c>
      <c r="B220" s="1" t="s">
        <v>501</v>
      </c>
      <c r="C220" s="1" t="s">
        <v>502</v>
      </c>
      <c r="D220" s="1" t="str">
        <f t="shared" si="41"/>
        <v>Sarah Butler</v>
      </c>
      <c r="E220" s="1">
        <v>64</v>
      </c>
      <c r="F220" s="1" t="s">
        <v>22</v>
      </c>
      <c r="G220" s="1" t="s">
        <v>23</v>
      </c>
      <c r="H220" s="1" t="s">
        <v>503</v>
      </c>
      <c r="I220" s="1" t="s">
        <v>504</v>
      </c>
      <c r="J220" s="1" t="s">
        <v>505</v>
      </c>
      <c r="K220" s="2">
        <v>45503</v>
      </c>
      <c r="L220" s="2" t="str">
        <f t="shared" si="42"/>
        <v>July</v>
      </c>
      <c r="M220" s="1" t="s">
        <v>506</v>
      </c>
      <c r="N220" s="1" t="s">
        <v>507</v>
      </c>
      <c r="O220" s="1">
        <v>136.30000000000001</v>
      </c>
      <c r="P220" s="1">
        <v>5</v>
      </c>
      <c r="Q220" s="1">
        <f t="shared" si="43"/>
        <v>681.5</v>
      </c>
      <c r="R220" s="1" t="s">
        <v>51</v>
      </c>
      <c r="S220" s="1">
        <f t="shared" si="44"/>
        <v>102.22499999999999</v>
      </c>
      <c r="T220" s="1">
        <f t="shared" si="45"/>
        <v>579.27499999999998</v>
      </c>
      <c r="U220" s="1">
        <v>6</v>
      </c>
      <c r="V220" s="1">
        <f t="shared" si="46"/>
        <v>618.27499999999998</v>
      </c>
      <c r="W220" s="1">
        <v>39</v>
      </c>
      <c r="X220" s="2">
        <v>45510</v>
      </c>
      <c r="Y220" s="1" t="s">
        <v>508</v>
      </c>
      <c r="Z220" s="1">
        <f t="shared" si="47"/>
        <v>720.5</v>
      </c>
      <c r="AA220" s="1">
        <f t="shared" si="48"/>
        <v>7</v>
      </c>
      <c r="AB220" s="1" t="str">
        <f t="shared" si="49"/>
        <v>Late</v>
      </c>
      <c r="AC220" s="1">
        <f t="shared" si="50"/>
        <v>681.5</v>
      </c>
      <c r="AD220" s="7">
        <f t="shared" si="51"/>
        <v>0.15</v>
      </c>
      <c r="AE220" s="1">
        <f t="shared" si="52"/>
        <v>102.22499999999999</v>
      </c>
      <c r="AF220" s="1">
        <f t="shared" si="53"/>
        <v>141.22499999999999</v>
      </c>
    </row>
    <row r="221" spans="1:32" ht="14.25" customHeight="1" x14ac:dyDescent="0.3">
      <c r="A221" s="1" t="s">
        <v>585</v>
      </c>
      <c r="B221" s="1" t="s">
        <v>586</v>
      </c>
      <c r="C221" s="1" t="s">
        <v>587</v>
      </c>
      <c r="D221" s="1" t="str">
        <f t="shared" si="41"/>
        <v>William Mann</v>
      </c>
      <c r="E221" s="1">
        <v>21</v>
      </c>
      <c r="F221" s="1" t="s">
        <v>22</v>
      </c>
      <c r="G221" s="1" t="s">
        <v>35</v>
      </c>
      <c r="H221" s="1" t="s">
        <v>588</v>
      </c>
      <c r="I221" s="1" t="s">
        <v>589</v>
      </c>
      <c r="J221" s="1" t="s">
        <v>695</v>
      </c>
      <c r="K221" s="2">
        <v>45530</v>
      </c>
      <c r="L221" s="2" t="str">
        <f t="shared" si="42"/>
        <v>August</v>
      </c>
      <c r="M221" s="1" t="s">
        <v>696</v>
      </c>
      <c r="N221" s="1" t="s">
        <v>556</v>
      </c>
      <c r="O221" s="1">
        <v>133.62</v>
      </c>
      <c r="P221" s="1">
        <v>5</v>
      </c>
      <c r="Q221" s="1">
        <f t="shared" si="43"/>
        <v>668.1</v>
      </c>
      <c r="R221" s="1" t="s">
        <v>51</v>
      </c>
      <c r="S221" s="1">
        <f t="shared" si="44"/>
        <v>100.215</v>
      </c>
      <c r="T221" s="1">
        <f t="shared" si="45"/>
        <v>567.88499999999999</v>
      </c>
      <c r="U221" s="1">
        <v>6</v>
      </c>
      <c r="V221" s="1">
        <f t="shared" si="46"/>
        <v>631.88499999999999</v>
      </c>
      <c r="W221" s="1">
        <v>64</v>
      </c>
      <c r="X221" s="2">
        <v>45532</v>
      </c>
      <c r="Y221" s="1" t="s">
        <v>697</v>
      </c>
      <c r="Z221" s="1">
        <f t="shared" si="47"/>
        <v>732.1</v>
      </c>
      <c r="AA221" s="1">
        <f t="shared" si="48"/>
        <v>2</v>
      </c>
      <c r="AB221" s="1" t="str">
        <f t="shared" si="49"/>
        <v>BeforeTime</v>
      </c>
      <c r="AC221" s="1">
        <f t="shared" si="50"/>
        <v>668.1</v>
      </c>
      <c r="AD221" s="7">
        <f t="shared" si="51"/>
        <v>0.15</v>
      </c>
      <c r="AE221" s="1">
        <f t="shared" si="52"/>
        <v>100.215</v>
      </c>
      <c r="AF221" s="1">
        <f t="shared" si="53"/>
        <v>164.215</v>
      </c>
    </row>
    <row r="222" spans="1:32" ht="14.25" customHeight="1" x14ac:dyDescent="0.3">
      <c r="A222" s="1" t="s">
        <v>19</v>
      </c>
      <c r="B222" s="1" t="s">
        <v>20</v>
      </c>
      <c r="C222" s="1" t="s">
        <v>21</v>
      </c>
      <c r="D222" s="1" t="str">
        <f t="shared" si="41"/>
        <v>Anne Oconnell</v>
      </c>
      <c r="E222" s="1">
        <v>37</v>
      </c>
      <c r="F222" s="1" t="s">
        <v>22</v>
      </c>
      <c r="G222" s="1" t="s">
        <v>23</v>
      </c>
      <c r="H222" s="1" t="s">
        <v>24</v>
      </c>
      <c r="I222" s="1" t="s">
        <v>25</v>
      </c>
      <c r="J222" s="1" t="s">
        <v>999</v>
      </c>
      <c r="K222" s="2">
        <v>45095</v>
      </c>
      <c r="L222" s="2" t="str">
        <f t="shared" si="42"/>
        <v>June</v>
      </c>
      <c r="M222" s="1" t="s">
        <v>1000</v>
      </c>
      <c r="N222" s="1" t="s">
        <v>556</v>
      </c>
      <c r="O222" s="1">
        <v>133.62</v>
      </c>
      <c r="P222" s="1">
        <v>5</v>
      </c>
      <c r="Q222" s="1">
        <f t="shared" si="43"/>
        <v>668.1</v>
      </c>
      <c r="R222" s="1" t="s">
        <v>56</v>
      </c>
      <c r="S222" s="1">
        <f t="shared" si="44"/>
        <v>0</v>
      </c>
      <c r="T222" s="1">
        <f t="shared" si="45"/>
        <v>668.1</v>
      </c>
      <c r="U222" s="1">
        <v>7</v>
      </c>
      <c r="V222" s="1">
        <f t="shared" si="46"/>
        <v>726.1</v>
      </c>
      <c r="W222" s="1">
        <v>58</v>
      </c>
      <c r="X222" s="2">
        <v>45098</v>
      </c>
      <c r="Y222" s="1" t="s">
        <v>1001</v>
      </c>
      <c r="Z222" s="1">
        <f t="shared" si="47"/>
        <v>726.1</v>
      </c>
      <c r="AA222" s="1">
        <f t="shared" si="48"/>
        <v>3</v>
      </c>
      <c r="AB222" s="1" t="str">
        <f t="shared" si="49"/>
        <v>BeforeTime</v>
      </c>
      <c r="AC222" s="1">
        <f t="shared" si="50"/>
        <v>668.1</v>
      </c>
      <c r="AD222" s="7">
        <f t="shared" si="51"/>
        <v>0</v>
      </c>
      <c r="AE222" s="1">
        <f t="shared" si="52"/>
        <v>0</v>
      </c>
      <c r="AF222" s="1">
        <f t="shared" si="53"/>
        <v>0</v>
      </c>
    </row>
    <row r="223" spans="1:32" ht="14.25" customHeight="1" x14ac:dyDescent="0.3">
      <c r="A223" s="1" t="s">
        <v>31</v>
      </c>
      <c r="B223" s="1" t="s">
        <v>32</v>
      </c>
      <c r="C223" s="1" t="s">
        <v>33</v>
      </c>
      <c r="D223" s="1" t="str">
        <f t="shared" si="41"/>
        <v>Anthony Thomas</v>
      </c>
      <c r="E223" s="1">
        <v>53</v>
      </c>
      <c r="F223" s="1" t="s">
        <v>34</v>
      </c>
      <c r="G223" s="1" t="s">
        <v>35</v>
      </c>
      <c r="H223" s="1" t="s">
        <v>36</v>
      </c>
      <c r="I223" s="1" t="s">
        <v>37</v>
      </c>
      <c r="J223" s="1" t="s">
        <v>38</v>
      </c>
      <c r="K223" s="2">
        <v>45378</v>
      </c>
      <c r="L223" s="2" t="str">
        <f t="shared" si="42"/>
        <v>March</v>
      </c>
      <c r="M223" s="1" t="s">
        <v>39</v>
      </c>
      <c r="N223" s="1" t="s">
        <v>40</v>
      </c>
      <c r="O223" s="1">
        <v>166.28</v>
      </c>
      <c r="P223" s="1">
        <v>4</v>
      </c>
      <c r="Q223" s="1">
        <f t="shared" si="43"/>
        <v>665.12</v>
      </c>
      <c r="R223" s="1" t="s">
        <v>29</v>
      </c>
      <c r="S223" s="1">
        <f t="shared" si="44"/>
        <v>53.209600000000002</v>
      </c>
      <c r="T223" s="1">
        <f t="shared" si="45"/>
        <v>611.91039999999998</v>
      </c>
      <c r="U223" s="1">
        <v>7</v>
      </c>
      <c r="V223" s="1">
        <f t="shared" si="46"/>
        <v>677.91039999999998</v>
      </c>
      <c r="W223" s="1">
        <v>66</v>
      </c>
      <c r="X223" s="2">
        <v>45381</v>
      </c>
      <c r="Y223" s="1" t="s">
        <v>41</v>
      </c>
      <c r="Z223" s="1">
        <f t="shared" si="47"/>
        <v>731.12</v>
      </c>
      <c r="AA223" s="1">
        <f t="shared" si="48"/>
        <v>3</v>
      </c>
      <c r="AB223" s="1" t="str">
        <f t="shared" si="49"/>
        <v>BeforeTime</v>
      </c>
      <c r="AC223" s="1">
        <f t="shared" si="50"/>
        <v>665.12</v>
      </c>
      <c r="AD223" s="7">
        <f t="shared" si="51"/>
        <v>0.08</v>
      </c>
      <c r="AE223" s="1">
        <f t="shared" si="52"/>
        <v>53.209600000000002</v>
      </c>
      <c r="AF223" s="1">
        <f t="shared" si="53"/>
        <v>119.20959999999999</v>
      </c>
    </row>
    <row r="224" spans="1:32" ht="14.25" customHeight="1" x14ac:dyDescent="0.3">
      <c r="A224" s="1" t="s">
        <v>386</v>
      </c>
      <c r="B224" s="1" t="s">
        <v>387</v>
      </c>
      <c r="C224" s="1" t="s">
        <v>388</v>
      </c>
      <c r="D224" s="1" t="str">
        <f t="shared" si="41"/>
        <v>Jason Lopez</v>
      </c>
      <c r="E224" s="1">
        <v>40</v>
      </c>
      <c r="F224" s="1" t="s">
        <v>45</v>
      </c>
      <c r="G224" s="1" t="s">
        <v>161</v>
      </c>
      <c r="H224" s="1" t="s">
        <v>389</v>
      </c>
      <c r="I224" s="1" t="s">
        <v>390</v>
      </c>
      <c r="J224" s="1" t="s">
        <v>391</v>
      </c>
      <c r="K224" s="2">
        <v>45620</v>
      </c>
      <c r="L224" s="2" t="str">
        <f t="shared" si="42"/>
        <v>November</v>
      </c>
      <c r="M224" s="1" t="s">
        <v>392</v>
      </c>
      <c r="N224" s="1" t="s">
        <v>40</v>
      </c>
      <c r="O224" s="1">
        <v>166.28</v>
      </c>
      <c r="P224" s="1">
        <v>4</v>
      </c>
      <c r="Q224" s="1">
        <f t="shared" si="43"/>
        <v>665.12</v>
      </c>
      <c r="R224" s="1" t="s">
        <v>56</v>
      </c>
      <c r="S224" s="1">
        <f t="shared" si="44"/>
        <v>0</v>
      </c>
      <c r="T224" s="1">
        <f t="shared" si="45"/>
        <v>665.12</v>
      </c>
      <c r="U224" s="1">
        <v>3</v>
      </c>
      <c r="V224" s="1">
        <f t="shared" si="46"/>
        <v>706.12</v>
      </c>
      <c r="W224" s="1">
        <v>41</v>
      </c>
      <c r="X224" s="2">
        <v>45626</v>
      </c>
      <c r="Y224" s="1" t="s">
        <v>393</v>
      </c>
      <c r="Z224" s="1">
        <f t="shared" si="47"/>
        <v>706.12</v>
      </c>
      <c r="AA224" s="1">
        <f t="shared" si="48"/>
        <v>6</v>
      </c>
      <c r="AB224" s="1" t="str">
        <f t="shared" si="49"/>
        <v>Late</v>
      </c>
      <c r="AC224" s="1">
        <f t="shared" si="50"/>
        <v>665.12</v>
      </c>
      <c r="AD224" s="7">
        <f t="shared" si="51"/>
        <v>0</v>
      </c>
      <c r="AE224" s="1">
        <f t="shared" si="52"/>
        <v>0</v>
      </c>
      <c r="AF224" s="1">
        <f t="shared" si="53"/>
        <v>0</v>
      </c>
    </row>
    <row r="225" spans="1:32" ht="14.25" customHeight="1" x14ac:dyDescent="0.3">
      <c r="A225" s="1" t="s">
        <v>632</v>
      </c>
      <c r="B225" s="1" t="s">
        <v>141</v>
      </c>
      <c r="C225" s="1" t="s">
        <v>633</v>
      </c>
      <c r="D225" s="1" t="str">
        <f t="shared" si="41"/>
        <v>Amy Ellis</v>
      </c>
      <c r="E225" s="1">
        <v>44</v>
      </c>
      <c r="F225" s="1" t="s">
        <v>45</v>
      </c>
      <c r="G225" s="1" t="s">
        <v>83</v>
      </c>
      <c r="H225" s="1" t="s">
        <v>634</v>
      </c>
      <c r="I225" s="1" t="s">
        <v>635</v>
      </c>
      <c r="J225" s="1" t="s">
        <v>951</v>
      </c>
      <c r="K225" s="2">
        <v>45186</v>
      </c>
      <c r="L225" s="2" t="str">
        <f t="shared" si="42"/>
        <v>September</v>
      </c>
      <c r="M225" s="1" t="s">
        <v>952</v>
      </c>
      <c r="N225" s="1" t="s">
        <v>40</v>
      </c>
      <c r="O225" s="1">
        <v>166.28</v>
      </c>
      <c r="P225" s="1">
        <v>4</v>
      </c>
      <c r="Q225" s="1">
        <f t="shared" si="43"/>
        <v>665.12</v>
      </c>
      <c r="R225" s="1" t="s">
        <v>78</v>
      </c>
      <c r="S225" s="1">
        <f t="shared" si="44"/>
        <v>133.024</v>
      </c>
      <c r="T225" s="1">
        <f t="shared" si="45"/>
        <v>532.096</v>
      </c>
      <c r="U225" s="1">
        <v>6</v>
      </c>
      <c r="V225" s="1">
        <f t="shared" si="46"/>
        <v>568.096</v>
      </c>
      <c r="W225" s="1">
        <v>36</v>
      </c>
      <c r="X225" s="2">
        <v>45193</v>
      </c>
      <c r="Y225" s="1" t="s">
        <v>953</v>
      </c>
      <c r="Z225" s="1">
        <f t="shared" si="47"/>
        <v>701.12</v>
      </c>
      <c r="AA225" s="1">
        <f t="shared" si="48"/>
        <v>7</v>
      </c>
      <c r="AB225" s="1" t="str">
        <f t="shared" si="49"/>
        <v>Late</v>
      </c>
      <c r="AC225" s="1">
        <f t="shared" si="50"/>
        <v>665.12</v>
      </c>
      <c r="AD225" s="7">
        <f t="shared" si="51"/>
        <v>0.2</v>
      </c>
      <c r="AE225" s="1">
        <f t="shared" si="52"/>
        <v>133.024</v>
      </c>
      <c r="AF225" s="1">
        <f t="shared" si="53"/>
        <v>169.024</v>
      </c>
    </row>
    <row r="226" spans="1:32" ht="14.25" customHeight="1" x14ac:dyDescent="0.3">
      <c r="A226" s="1" t="s">
        <v>568</v>
      </c>
      <c r="B226" s="1" t="s">
        <v>249</v>
      </c>
      <c r="C226" s="1" t="s">
        <v>569</v>
      </c>
      <c r="D226" s="1" t="str">
        <f t="shared" si="41"/>
        <v>Ashley Romero</v>
      </c>
      <c r="E226" s="1">
        <v>35</v>
      </c>
      <c r="F226" s="1" t="s">
        <v>22</v>
      </c>
      <c r="G226" s="1" t="s">
        <v>23</v>
      </c>
      <c r="H226" s="1" t="s">
        <v>570</v>
      </c>
      <c r="I226" s="1" t="s">
        <v>571</v>
      </c>
      <c r="J226" s="1" t="s">
        <v>1051</v>
      </c>
      <c r="K226" s="2">
        <v>45253</v>
      </c>
      <c r="L226" s="2" t="str">
        <f t="shared" si="42"/>
        <v>November</v>
      </c>
      <c r="M226" s="1" t="s">
        <v>1052</v>
      </c>
      <c r="N226" s="1" t="s">
        <v>40</v>
      </c>
      <c r="O226" s="1">
        <v>166.28</v>
      </c>
      <c r="P226" s="1">
        <v>4</v>
      </c>
      <c r="Q226" s="1">
        <f t="shared" si="43"/>
        <v>665.12</v>
      </c>
      <c r="R226" s="1" t="s">
        <v>89</v>
      </c>
      <c r="S226" s="1">
        <f t="shared" si="44"/>
        <v>66.512</v>
      </c>
      <c r="T226" s="1">
        <f t="shared" si="45"/>
        <v>598.60799999999995</v>
      </c>
      <c r="U226" s="1">
        <v>4</v>
      </c>
      <c r="V226" s="1">
        <f t="shared" si="46"/>
        <v>642.60799999999995</v>
      </c>
      <c r="W226" s="1">
        <v>44</v>
      </c>
      <c r="X226" s="2">
        <v>45257</v>
      </c>
      <c r="Y226" s="1" t="s">
        <v>1053</v>
      </c>
      <c r="Z226" s="1">
        <f t="shared" si="47"/>
        <v>709.12</v>
      </c>
      <c r="AA226" s="1">
        <f t="shared" si="48"/>
        <v>4</v>
      </c>
      <c r="AB226" s="1" t="str">
        <f t="shared" si="49"/>
        <v>Intime</v>
      </c>
      <c r="AC226" s="1">
        <f t="shared" si="50"/>
        <v>665.12</v>
      </c>
      <c r="AD226" s="7">
        <f t="shared" si="51"/>
        <v>0.1</v>
      </c>
      <c r="AE226" s="1">
        <f t="shared" si="52"/>
        <v>66.512</v>
      </c>
      <c r="AF226" s="1">
        <f t="shared" si="53"/>
        <v>110.512</v>
      </c>
    </row>
    <row r="227" spans="1:32" ht="14.25" customHeight="1" x14ac:dyDescent="0.3">
      <c r="A227" s="1" t="s">
        <v>698</v>
      </c>
      <c r="B227" s="1" t="s">
        <v>699</v>
      </c>
      <c r="C227" s="1" t="s">
        <v>700</v>
      </c>
      <c r="D227" s="1" t="str">
        <f t="shared" si="41"/>
        <v>Gregory Lee</v>
      </c>
      <c r="E227" s="1">
        <v>26</v>
      </c>
      <c r="F227" s="1" t="s">
        <v>45</v>
      </c>
      <c r="G227" s="1" t="s">
        <v>69</v>
      </c>
      <c r="H227" s="1" t="s">
        <v>701</v>
      </c>
      <c r="I227" s="1" t="s">
        <v>702</v>
      </c>
      <c r="J227" s="1" t="s">
        <v>798</v>
      </c>
      <c r="K227" s="2">
        <v>45450</v>
      </c>
      <c r="L227" s="2" t="str">
        <f t="shared" si="42"/>
        <v>June</v>
      </c>
      <c r="M227" s="1" t="s">
        <v>799</v>
      </c>
      <c r="N227" s="1" t="s">
        <v>227</v>
      </c>
      <c r="O227" s="1">
        <v>132.97</v>
      </c>
      <c r="P227" s="1">
        <v>5</v>
      </c>
      <c r="Q227" s="1">
        <f t="shared" si="43"/>
        <v>664.85</v>
      </c>
      <c r="R227" s="1" t="s">
        <v>78</v>
      </c>
      <c r="S227" s="1">
        <f t="shared" si="44"/>
        <v>132.97</v>
      </c>
      <c r="T227" s="1">
        <f t="shared" si="45"/>
        <v>531.88</v>
      </c>
      <c r="U227" s="1">
        <v>3</v>
      </c>
      <c r="V227" s="1">
        <f t="shared" si="46"/>
        <v>576.88</v>
      </c>
      <c r="W227" s="1">
        <v>45</v>
      </c>
      <c r="X227" s="2">
        <v>45452</v>
      </c>
      <c r="Y227" s="1" t="s">
        <v>800</v>
      </c>
      <c r="Z227" s="1">
        <f t="shared" si="47"/>
        <v>709.85</v>
      </c>
      <c r="AA227" s="1">
        <f t="shared" si="48"/>
        <v>2</v>
      </c>
      <c r="AB227" s="1" t="str">
        <f t="shared" si="49"/>
        <v>BeforeTime</v>
      </c>
      <c r="AC227" s="1">
        <f t="shared" si="50"/>
        <v>664.85</v>
      </c>
      <c r="AD227" s="7">
        <f t="shared" si="51"/>
        <v>0.2</v>
      </c>
      <c r="AE227" s="1">
        <f t="shared" si="52"/>
        <v>132.97</v>
      </c>
      <c r="AF227" s="1">
        <f t="shared" si="53"/>
        <v>177.97</v>
      </c>
    </row>
    <row r="228" spans="1:32" ht="14.25" customHeight="1" x14ac:dyDescent="0.3">
      <c r="A228" s="1" t="s">
        <v>273</v>
      </c>
      <c r="B228" s="1" t="s">
        <v>274</v>
      </c>
      <c r="C228" s="1" t="s">
        <v>275</v>
      </c>
      <c r="D228" s="1" t="str">
        <f t="shared" si="41"/>
        <v>Teresa Harvey</v>
      </c>
      <c r="E228" s="1">
        <v>64</v>
      </c>
      <c r="F228" s="1" t="s">
        <v>45</v>
      </c>
      <c r="G228" s="1" t="s">
        <v>23</v>
      </c>
      <c r="H228" s="1" t="s">
        <v>276</v>
      </c>
      <c r="I228" s="1" t="s">
        <v>277</v>
      </c>
      <c r="J228" s="1" t="s">
        <v>900</v>
      </c>
      <c r="K228" s="2">
        <v>45129</v>
      </c>
      <c r="L228" s="2" t="str">
        <f t="shared" si="42"/>
        <v>July</v>
      </c>
      <c r="M228" s="1" t="s">
        <v>901</v>
      </c>
      <c r="N228" s="1" t="s">
        <v>147</v>
      </c>
      <c r="O228" s="1">
        <v>220.27</v>
      </c>
      <c r="P228" s="1">
        <v>3</v>
      </c>
      <c r="Q228" s="1">
        <f t="shared" si="43"/>
        <v>660.81000000000006</v>
      </c>
      <c r="R228" s="1" t="s">
        <v>29</v>
      </c>
      <c r="S228" s="1">
        <f t="shared" si="44"/>
        <v>52.864800000000002</v>
      </c>
      <c r="T228" s="1">
        <f t="shared" si="45"/>
        <v>607.94520000000011</v>
      </c>
      <c r="U228" s="1">
        <v>6</v>
      </c>
      <c r="V228" s="1">
        <f t="shared" si="46"/>
        <v>655.94520000000011</v>
      </c>
      <c r="W228" s="1">
        <v>48</v>
      </c>
      <c r="X228" s="2">
        <v>45132</v>
      </c>
      <c r="Y228" s="1" t="s">
        <v>902</v>
      </c>
      <c r="Z228" s="1">
        <f t="shared" si="47"/>
        <v>708.81000000000006</v>
      </c>
      <c r="AA228" s="1">
        <f t="shared" si="48"/>
        <v>3</v>
      </c>
      <c r="AB228" s="1" t="str">
        <f t="shared" si="49"/>
        <v>BeforeTime</v>
      </c>
      <c r="AC228" s="1">
        <f t="shared" si="50"/>
        <v>660.81000000000006</v>
      </c>
      <c r="AD228" s="7">
        <f t="shared" si="51"/>
        <v>0.08</v>
      </c>
      <c r="AE228" s="1">
        <f t="shared" si="52"/>
        <v>52.864800000000002</v>
      </c>
      <c r="AF228" s="1">
        <f t="shared" si="53"/>
        <v>100.8648</v>
      </c>
    </row>
    <row r="229" spans="1:32" ht="14.25" customHeight="1" x14ac:dyDescent="0.3">
      <c r="A229" s="1" t="s">
        <v>130</v>
      </c>
      <c r="B229" s="1" t="s">
        <v>131</v>
      </c>
      <c r="C229" s="1" t="s">
        <v>132</v>
      </c>
      <c r="D229" s="1" t="str">
        <f t="shared" si="41"/>
        <v>Kara Brennan</v>
      </c>
      <c r="E229" s="1">
        <v>25</v>
      </c>
      <c r="F229" s="1" t="s">
        <v>45</v>
      </c>
      <c r="G229" s="1" t="s">
        <v>133</v>
      </c>
      <c r="H229" s="1" t="s">
        <v>134</v>
      </c>
      <c r="I229" s="1" t="s">
        <v>135</v>
      </c>
      <c r="J229" s="1" t="s">
        <v>2031</v>
      </c>
      <c r="K229" s="2">
        <v>45107</v>
      </c>
      <c r="L229" s="2" t="str">
        <f t="shared" si="42"/>
        <v>June</v>
      </c>
      <c r="M229" s="1" t="s">
        <v>2032</v>
      </c>
      <c r="N229" s="1" t="s">
        <v>147</v>
      </c>
      <c r="O229" s="1">
        <v>220.27</v>
      </c>
      <c r="P229" s="1">
        <v>3</v>
      </c>
      <c r="Q229" s="1">
        <f t="shared" si="43"/>
        <v>660.81000000000006</v>
      </c>
      <c r="R229" s="1" t="s">
        <v>56</v>
      </c>
      <c r="S229" s="1">
        <f t="shared" si="44"/>
        <v>0</v>
      </c>
      <c r="T229" s="1">
        <f t="shared" si="45"/>
        <v>660.81000000000006</v>
      </c>
      <c r="U229" s="1">
        <v>4</v>
      </c>
      <c r="V229" s="1">
        <f t="shared" si="46"/>
        <v>710.81000000000006</v>
      </c>
      <c r="W229" s="1">
        <v>50</v>
      </c>
      <c r="X229" s="2">
        <v>45108</v>
      </c>
      <c r="Y229" s="1" t="s">
        <v>2033</v>
      </c>
      <c r="Z229" s="1">
        <f t="shared" si="47"/>
        <v>710.81000000000006</v>
      </c>
      <c r="AA229" s="1">
        <f t="shared" si="48"/>
        <v>1</v>
      </c>
      <c r="AB229" s="1" t="str">
        <f t="shared" si="49"/>
        <v>BeforeTime</v>
      </c>
      <c r="AC229" s="1">
        <f t="shared" si="50"/>
        <v>660.81000000000006</v>
      </c>
      <c r="AD229" s="7">
        <f t="shared" si="51"/>
        <v>0</v>
      </c>
      <c r="AE229" s="1">
        <f t="shared" si="52"/>
        <v>0</v>
      </c>
      <c r="AF229" s="1">
        <f t="shared" si="53"/>
        <v>0</v>
      </c>
    </row>
    <row r="230" spans="1:32" ht="14.25" customHeight="1" x14ac:dyDescent="0.3">
      <c r="A230" s="1" t="s">
        <v>585</v>
      </c>
      <c r="B230" s="1" t="s">
        <v>586</v>
      </c>
      <c r="C230" s="1" t="s">
        <v>587</v>
      </c>
      <c r="D230" s="1" t="str">
        <f t="shared" si="41"/>
        <v>William Mann</v>
      </c>
      <c r="E230" s="1">
        <v>21</v>
      </c>
      <c r="F230" s="1" t="s">
        <v>22</v>
      </c>
      <c r="G230" s="1" t="s">
        <v>35</v>
      </c>
      <c r="H230" s="1" t="s">
        <v>588</v>
      </c>
      <c r="I230" s="1" t="s">
        <v>589</v>
      </c>
      <c r="J230" s="1" t="s">
        <v>590</v>
      </c>
      <c r="K230" s="2">
        <v>45041</v>
      </c>
      <c r="L230" s="2" t="str">
        <f t="shared" si="42"/>
        <v>April</v>
      </c>
      <c r="M230" s="1" t="s">
        <v>591</v>
      </c>
      <c r="N230" s="1" t="s">
        <v>74</v>
      </c>
      <c r="O230" s="1">
        <v>330.11</v>
      </c>
      <c r="P230" s="1">
        <v>2</v>
      </c>
      <c r="Q230" s="1">
        <f t="shared" si="43"/>
        <v>660.22</v>
      </c>
      <c r="R230" s="1" t="s">
        <v>29</v>
      </c>
      <c r="S230" s="1">
        <f t="shared" si="44"/>
        <v>52.817600000000006</v>
      </c>
      <c r="T230" s="1">
        <f t="shared" si="45"/>
        <v>607.40240000000006</v>
      </c>
      <c r="U230" s="1">
        <v>3</v>
      </c>
      <c r="V230" s="1">
        <f t="shared" si="46"/>
        <v>671.40240000000006</v>
      </c>
      <c r="W230" s="1">
        <v>64</v>
      </c>
      <c r="X230" s="2">
        <v>45046</v>
      </c>
      <c r="Y230" s="1" t="s">
        <v>592</v>
      </c>
      <c r="Z230" s="1">
        <f t="shared" si="47"/>
        <v>724.22</v>
      </c>
      <c r="AA230" s="1">
        <f t="shared" si="48"/>
        <v>5</v>
      </c>
      <c r="AB230" s="1" t="str">
        <f t="shared" si="49"/>
        <v>Late</v>
      </c>
      <c r="AC230" s="1">
        <f t="shared" si="50"/>
        <v>660.22</v>
      </c>
      <c r="AD230" s="7">
        <f t="shared" si="51"/>
        <v>0.08</v>
      </c>
      <c r="AE230" s="1">
        <f t="shared" si="52"/>
        <v>52.817600000000006</v>
      </c>
      <c r="AF230" s="1">
        <f t="shared" si="53"/>
        <v>116.8176</v>
      </c>
    </row>
    <row r="231" spans="1:32" ht="14.25" customHeight="1" x14ac:dyDescent="0.3">
      <c r="A231" s="1" t="s">
        <v>413</v>
      </c>
      <c r="B231" s="1" t="s">
        <v>414</v>
      </c>
      <c r="C231" s="1" t="s">
        <v>415</v>
      </c>
      <c r="D231" s="1" t="str">
        <f t="shared" si="41"/>
        <v>Amanda Howard</v>
      </c>
      <c r="E231" s="1">
        <v>52</v>
      </c>
      <c r="F231" s="1" t="s">
        <v>45</v>
      </c>
      <c r="G231" s="1" t="s">
        <v>213</v>
      </c>
      <c r="H231" s="1" t="s">
        <v>416</v>
      </c>
      <c r="I231" s="1" t="s">
        <v>417</v>
      </c>
      <c r="J231" s="1" t="s">
        <v>1629</v>
      </c>
      <c r="K231" s="2">
        <v>44975</v>
      </c>
      <c r="L231" s="2" t="str">
        <f t="shared" si="42"/>
        <v>February</v>
      </c>
      <c r="M231" s="1" t="s">
        <v>1630</v>
      </c>
      <c r="N231" s="1" t="s">
        <v>74</v>
      </c>
      <c r="O231" s="1">
        <v>330.11</v>
      </c>
      <c r="P231" s="1">
        <v>2</v>
      </c>
      <c r="Q231" s="1">
        <f t="shared" si="43"/>
        <v>660.22</v>
      </c>
      <c r="R231" s="1" t="s">
        <v>56</v>
      </c>
      <c r="S231" s="1">
        <f t="shared" si="44"/>
        <v>0</v>
      </c>
      <c r="T231" s="1">
        <f t="shared" si="45"/>
        <v>660.22</v>
      </c>
      <c r="U231" s="1">
        <v>3</v>
      </c>
      <c r="V231" s="1">
        <f t="shared" si="46"/>
        <v>715.22</v>
      </c>
      <c r="W231" s="1">
        <v>55</v>
      </c>
      <c r="X231" s="2">
        <v>44976</v>
      </c>
      <c r="Y231" s="1" t="s">
        <v>1631</v>
      </c>
      <c r="Z231" s="1">
        <f t="shared" si="47"/>
        <v>715.22</v>
      </c>
      <c r="AA231" s="1">
        <f t="shared" si="48"/>
        <v>1</v>
      </c>
      <c r="AB231" s="1" t="str">
        <f t="shared" si="49"/>
        <v>BeforeTime</v>
      </c>
      <c r="AC231" s="1">
        <f t="shared" si="50"/>
        <v>660.22</v>
      </c>
      <c r="AD231" s="7">
        <f t="shared" si="51"/>
        <v>0</v>
      </c>
      <c r="AE231" s="1">
        <f t="shared" si="52"/>
        <v>0</v>
      </c>
      <c r="AF231" s="1">
        <f t="shared" si="53"/>
        <v>0</v>
      </c>
    </row>
    <row r="232" spans="1:32" ht="14.25" customHeight="1" x14ac:dyDescent="0.3">
      <c r="A232" s="1" t="s">
        <v>615</v>
      </c>
      <c r="B232" s="1" t="s">
        <v>122</v>
      </c>
      <c r="C232" s="1" t="s">
        <v>616</v>
      </c>
      <c r="D232" s="1" t="str">
        <f t="shared" si="41"/>
        <v>Joseph Gaines</v>
      </c>
      <c r="E232" s="1">
        <v>47</v>
      </c>
      <c r="F232" s="1" t="s">
        <v>45</v>
      </c>
      <c r="G232" s="1" t="s">
        <v>69</v>
      </c>
      <c r="H232" s="1" t="s">
        <v>617</v>
      </c>
      <c r="I232" s="1" t="s">
        <v>618</v>
      </c>
      <c r="J232" s="1" t="s">
        <v>966</v>
      </c>
      <c r="K232" s="2">
        <v>45051</v>
      </c>
      <c r="L232" s="2" t="str">
        <f t="shared" si="42"/>
        <v>May</v>
      </c>
      <c r="M232" s="1" t="s">
        <v>967</v>
      </c>
      <c r="N232" s="1" t="s">
        <v>301</v>
      </c>
      <c r="O232" s="1">
        <v>129.75</v>
      </c>
      <c r="P232" s="1">
        <v>5</v>
      </c>
      <c r="Q232" s="1">
        <f t="shared" si="43"/>
        <v>648.75</v>
      </c>
      <c r="R232" s="1" t="s">
        <v>56</v>
      </c>
      <c r="S232" s="1">
        <f t="shared" si="44"/>
        <v>0</v>
      </c>
      <c r="T232" s="1">
        <f t="shared" si="45"/>
        <v>648.75</v>
      </c>
      <c r="U232" s="1">
        <v>3</v>
      </c>
      <c r="V232" s="1">
        <f t="shared" si="46"/>
        <v>691.75</v>
      </c>
      <c r="W232" s="1">
        <v>43</v>
      </c>
      <c r="X232" s="2">
        <v>45057</v>
      </c>
      <c r="Y232" s="1" t="s">
        <v>968</v>
      </c>
      <c r="Z232" s="1">
        <f t="shared" si="47"/>
        <v>691.75</v>
      </c>
      <c r="AA232" s="1">
        <f t="shared" si="48"/>
        <v>6</v>
      </c>
      <c r="AB232" s="1" t="str">
        <f t="shared" si="49"/>
        <v>Late</v>
      </c>
      <c r="AC232" s="1">
        <f t="shared" si="50"/>
        <v>648.75</v>
      </c>
      <c r="AD232" s="7">
        <f t="shared" si="51"/>
        <v>0</v>
      </c>
      <c r="AE232" s="1">
        <f t="shared" si="52"/>
        <v>0</v>
      </c>
      <c r="AF232" s="1">
        <f t="shared" si="53"/>
        <v>0</v>
      </c>
    </row>
    <row r="233" spans="1:32" ht="14.25" customHeight="1" x14ac:dyDescent="0.3">
      <c r="A233" s="1" t="s">
        <v>1035</v>
      </c>
      <c r="B233" s="1" t="s">
        <v>67</v>
      </c>
      <c r="C233" s="1" t="s">
        <v>1036</v>
      </c>
      <c r="D233" s="1" t="str">
        <f t="shared" si="41"/>
        <v>Christine Aguilar</v>
      </c>
      <c r="E233" s="1">
        <v>46</v>
      </c>
      <c r="F233" s="1" t="s">
        <v>22</v>
      </c>
      <c r="G233" s="1" t="s">
        <v>23</v>
      </c>
      <c r="H233" s="1" t="s">
        <v>1037</v>
      </c>
      <c r="I233" s="1" t="s">
        <v>1038</v>
      </c>
      <c r="J233" s="1" t="s">
        <v>1039</v>
      </c>
      <c r="K233" s="2">
        <v>45051</v>
      </c>
      <c r="L233" s="2" t="str">
        <f t="shared" si="42"/>
        <v>May</v>
      </c>
      <c r="M233" s="1" t="s">
        <v>1040</v>
      </c>
      <c r="N233" s="1" t="s">
        <v>301</v>
      </c>
      <c r="O233" s="1">
        <v>129.75</v>
      </c>
      <c r="P233" s="1">
        <v>5</v>
      </c>
      <c r="Q233" s="1">
        <f t="shared" si="43"/>
        <v>648.75</v>
      </c>
      <c r="R233" s="1" t="s">
        <v>78</v>
      </c>
      <c r="S233" s="1">
        <f t="shared" si="44"/>
        <v>129.75</v>
      </c>
      <c r="T233" s="1">
        <f t="shared" si="45"/>
        <v>519</v>
      </c>
      <c r="U233" s="1">
        <v>6</v>
      </c>
      <c r="V233" s="1">
        <f t="shared" si="46"/>
        <v>557</v>
      </c>
      <c r="W233" s="1">
        <v>38</v>
      </c>
      <c r="X233" s="2">
        <v>45057</v>
      </c>
      <c r="Y233" s="1" t="s">
        <v>1041</v>
      </c>
      <c r="Z233" s="1">
        <f t="shared" si="47"/>
        <v>686.75</v>
      </c>
      <c r="AA233" s="1">
        <f t="shared" si="48"/>
        <v>6</v>
      </c>
      <c r="AB233" s="1" t="str">
        <f t="shared" si="49"/>
        <v>Intime</v>
      </c>
      <c r="AC233" s="1">
        <f t="shared" si="50"/>
        <v>648.75</v>
      </c>
      <c r="AD233" s="7">
        <f t="shared" si="51"/>
        <v>0.2</v>
      </c>
      <c r="AE233" s="1">
        <f t="shared" si="52"/>
        <v>129.75</v>
      </c>
      <c r="AF233" s="1">
        <f t="shared" si="53"/>
        <v>167.75</v>
      </c>
    </row>
    <row r="234" spans="1:32" ht="14.25" customHeight="1" x14ac:dyDescent="0.3">
      <c r="A234" s="1" t="s">
        <v>413</v>
      </c>
      <c r="B234" s="1" t="s">
        <v>414</v>
      </c>
      <c r="C234" s="1" t="s">
        <v>415</v>
      </c>
      <c r="D234" s="1" t="str">
        <f t="shared" si="41"/>
        <v>Amanda Howard</v>
      </c>
      <c r="E234" s="1">
        <v>52</v>
      </c>
      <c r="F234" s="1" t="s">
        <v>45</v>
      </c>
      <c r="G234" s="1" t="s">
        <v>213</v>
      </c>
      <c r="H234" s="1" t="s">
        <v>416</v>
      </c>
      <c r="I234" s="1" t="s">
        <v>417</v>
      </c>
      <c r="J234" s="1" t="s">
        <v>418</v>
      </c>
      <c r="K234" s="2">
        <v>45145</v>
      </c>
      <c r="L234" s="2" t="str">
        <f t="shared" si="42"/>
        <v>August</v>
      </c>
      <c r="M234" s="1" t="s">
        <v>419</v>
      </c>
      <c r="N234" s="1" t="s">
        <v>243</v>
      </c>
      <c r="O234" s="1">
        <v>128.13999999999999</v>
      </c>
      <c r="P234" s="1">
        <v>5</v>
      </c>
      <c r="Q234" s="1">
        <f t="shared" si="43"/>
        <v>640.69999999999993</v>
      </c>
      <c r="R234" s="1" t="s">
        <v>51</v>
      </c>
      <c r="S234" s="1">
        <f t="shared" si="44"/>
        <v>96.10499999999999</v>
      </c>
      <c r="T234" s="1">
        <f t="shared" si="45"/>
        <v>544.59499999999991</v>
      </c>
      <c r="U234" s="1">
        <v>2</v>
      </c>
      <c r="V234" s="1">
        <f t="shared" si="46"/>
        <v>601.59499999999991</v>
      </c>
      <c r="W234" s="1">
        <v>57</v>
      </c>
      <c r="X234" s="2">
        <v>45147</v>
      </c>
      <c r="Y234" s="1" t="s">
        <v>420</v>
      </c>
      <c r="Z234" s="1">
        <f t="shared" si="47"/>
        <v>697.69999999999993</v>
      </c>
      <c r="AA234" s="1">
        <f t="shared" si="48"/>
        <v>2</v>
      </c>
      <c r="AB234" s="1" t="str">
        <f t="shared" si="49"/>
        <v>Intime</v>
      </c>
      <c r="AC234" s="1">
        <f t="shared" si="50"/>
        <v>640.69999999999993</v>
      </c>
      <c r="AD234" s="7">
        <f t="shared" si="51"/>
        <v>0.15</v>
      </c>
      <c r="AE234" s="1">
        <f t="shared" si="52"/>
        <v>96.10499999999999</v>
      </c>
      <c r="AF234" s="1">
        <f t="shared" si="53"/>
        <v>153.10499999999999</v>
      </c>
    </row>
    <row r="235" spans="1:32" ht="14.25" customHeight="1" x14ac:dyDescent="0.3">
      <c r="A235" s="1" t="s">
        <v>1607</v>
      </c>
      <c r="B235" s="1" t="s">
        <v>266</v>
      </c>
      <c r="C235" s="1" t="s">
        <v>1608</v>
      </c>
      <c r="D235" s="1" t="str">
        <f t="shared" si="41"/>
        <v>Lauren Crane</v>
      </c>
      <c r="E235" s="1">
        <v>62</v>
      </c>
      <c r="F235" s="1" t="s">
        <v>34</v>
      </c>
      <c r="G235" s="1" t="s">
        <v>35</v>
      </c>
      <c r="H235" s="1" t="s">
        <v>1609</v>
      </c>
      <c r="I235" s="1" t="s">
        <v>1610</v>
      </c>
      <c r="J235" s="1" t="s">
        <v>1611</v>
      </c>
      <c r="K235" s="2">
        <v>45678</v>
      </c>
      <c r="L235" s="2" t="str">
        <f t="shared" si="42"/>
        <v>January</v>
      </c>
      <c r="M235" s="1" t="s">
        <v>1612</v>
      </c>
      <c r="N235" s="1" t="s">
        <v>243</v>
      </c>
      <c r="O235" s="1">
        <v>128.13999999999999</v>
      </c>
      <c r="P235" s="1">
        <v>5</v>
      </c>
      <c r="Q235" s="1">
        <f t="shared" si="43"/>
        <v>640.69999999999993</v>
      </c>
      <c r="R235" s="1" t="s">
        <v>78</v>
      </c>
      <c r="S235" s="1">
        <f t="shared" si="44"/>
        <v>128.13999999999999</v>
      </c>
      <c r="T235" s="1">
        <f t="shared" si="45"/>
        <v>512.55999999999995</v>
      </c>
      <c r="U235" s="1">
        <v>7</v>
      </c>
      <c r="V235" s="1">
        <f t="shared" si="46"/>
        <v>580.55999999999995</v>
      </c>
      <c r="W235" s="1">
        <v>68</v>
      </c>
      <c r="X235" s="2">
        <v>45685</v>
      </c>
      <c r="Y235" s="1" t="s">
        <v>1613</v>
      </c>
      <c r="Z235" s="1">
        <f t="shared" si="47"/>
        <v>708.69999999999993</v>
      </c>
      <c r="AA235" s="1">
        <f t="shared" si="48"/>
        <v>7</v>
      </c>
      <c r="AB235" s="1" t="str">
        <f t="shared" si="49"/>
        <v>Intime</v>
      </c>
      <c r="AC235" s="1">
        <f t="shared" si="50"/>
        <v>640.69999999999993</v>
      </c>
      <c r="AD235" s="7">
        <f t="shared" si="51"/>
        <v>0.2</v>
      </c>
      <c r="AE235" s="1">
        <f t="shared" si="52"/>
        <v>128.13999999999999</v>
      </c>
      <c r="AF235" s="1">
        <f t="shared" si="53"/>
        <v>196.14</v>
      </c>
    </row>
    <row r="236" spans="1:32" ht="14.25" customHeight="1" x14ac:dyDescent="0.3">
      <c r="A236" s="1" t="s">
        <v>459</v>
      </c>
      <c r="B236" s="1" t="s">
        <v>460</v>
      </c>
      <c r="C236" s="1" t="s">
        <v>461</v>
      </c>
      <c r="D236" s="1" t="str">
        <f t="shared" si="41"/>
        <v>Lori Cook</v>
      </c>
      <c r="E236" s="1">
        <v>18</v>
      </c>
      <c r="F236" s="1" t="s">
        <v>34</v>
      </c>
      <c r="G236" s="1" t="s">
        <v>35</v>
      </c>
      <c r="H236" s="1" t="s">
        <v>462</v>
      </c>
      <c r="I236" s="1" t="s">
        <v>463</v>
      </c>
      <c r="J236" s="1" t="s">
        <v>1152</v>
      </c>
      <c r="K236" s="2">
        <v>45273</v>
      </c>
      <c r="L236" s="2" t="str">
        <f t="shared" si="42"/>
        <v>December</v>
      </c>
      <c r="M236" s="1" t="s">
        <v>1153</v>
      </c>
      <c r="N236" s="1" t="s">
        <v>235</v>
      </c>
      <c r="O236" s="1">
        <v>126.19</v>
      </c>
      <c r="P236" s="1">
        <v>5</v>
      </c>
      <c r="Q236" s="1">
        <f t="shared" si="43"/>
        <v>630.95000000000005</v>
      </c>
      <c r="R236" s="1" t="s">
        <v>89</v>
      </c>
      <c r="S236" s="1">
        <f t="shared" si="44"/>
        <v>63.095000000000006</v>
      </c>
      <c r="T236" s="1">
        <f t="shared" si="45"/>
        <v>567.85500000000002</v>
      </c>
      <c r="U236" s="1">
        <v>4</v>
      </c>
      <c r="V236" s="1">
        <f t="shared" si="46"/>
        <v>614.85500000000002</v>
      </c>
      <c r="W236" s="1">
        <v>47</v>
      </c>
      <c r="X236" s="2">
        <v>45280</v>
      </c>
      <c r="Y236" s="1" t="s">
        <v>1154</v>
      </c>
      <c r="Z236" s="1">
        <f t="shared" si="47"/>
        <v>677.95</v>
      </c>
      <c r="AA236" s="1">
        <f t="shared" si="48"/>
        <v>7</v>
      </c>
      <c r="AB236" s="1" t="str">
        <f t="shared" si="49"/>
        <v>Late</v>
      </c>
      <c r="AC236" s="1">
        <f t="shared" si="50"/>
        <v>630.95000000000005</v>
      </c>
      <c r="AD236" s="7">
        <f t="shared" si="51"/>
        <v>0.1</v>
      </c>
      <c r="AE236" s="1">
        <f t="shared" si="52"/>
        <v>63.095000000000006</v>
      </c>
      <c r="AF236" s="1">
        <f t="shared" si="53"/>
        <v>110.095</v>
      </c>
    </row>
    <row r="237" spans="1:32" ht="14.25" customHeight="1" x14ac:dyDescent="0.3">
      <c r="A237" s="1" t="s">
        <v>273</v>
      </c>
      <c r="B237" s="1" t="s">
        <v>274</v>
      </c>
      <c r="C237" s="1" t="s">
        <v>275</v>
      </c>
      <c r="D237" s="1" t="str">
        <f t="shared" si="41"/>
        <v>Teresa Harvey</v>
      </c>
      <c r="E237" s="1">
        <v>64</v>
      </c>
      <c r="F237" s="1" t="s">
        <v>45</v>
      </c>
      <c r="G237" s="1" t="s">
        <v>23</v>
      </c>
      <c r="H237" s="1" t="s">
        <v>276</v>
      </c>
      <c r="I237" s="1" t="s">
        <v>277</v>
      </c>
      <c r="J237" s="1" t="s">
        <v>278</v>
      </c>
      <c r="K237" s="2">
        <v>45039</v>
      </c>
      <c r="L237" s="2" t="str">
        <f t="shared" si="42"/>
        <v>April</v>
      </c>
      <c r="M237" s="1" t="s">
        <v>279</v>
      </c>
      <c r="N237" s="1" t="s">
        <v>280</v>
      </c>
      <c r="O237" s="1">
        <v>157.63999999999999</v>
      </c>
      <c r="P237" s="1">
        <v>4</v>
      </c>
      <c r="Q237" s="1">
        <f t="shared" si="43"/>
        <v>630.55999999999995</v>
      </c>
      <c r="R237" s="1" t="s">
        <v>78</v>
      </c>
      <c r="S237" s="1">
        <f t="shared" si="44"/>
        <v>126.11199999999999</v>
      </c>
      <c r="T237" s="1">
        <f t="shared" si="45"/>
        <v>504.44799999999998</v>
      </c>
      <c r="U237" s="1">
        <v>7</v>
      </c>
      <c r="V237" s="1">
        <f t="shared" si="46"/>
        <v>563.44799999999998</v>
      </c>
      <c r="W237" s="1">
        <v>59</v>
      </c>
      <c r="X237" s="2">
        <v>45046</v>
      </c>
      <c r="Y237" s="1" t="s">
        <v>281</v>
      </c>
      <c r="Z237" s="1">
        <f t="shared" si="47"/>
        <v>689.56</v>
      </c>
      <c r="AA237" s="1">
        <f t="shared" si="48"/>
        <v>7</v>
      </c>
      <c r="AB237" s="1" t="str">
        <f t="shared" si="49"/>
        <v>Intime</v>
      </c>
      <c r="AC237" s="1">
        <f t="shared" si="50"/>
        <v>630.55999999999995</v>
      </c>
      <c r="AD237" s="7">
        <f t="shared" si="51"/>
        <v>0.2</v>
      </c>
      <c r="AE237" s="1">
        <f t="shared" si="52"/>
        <v>126.11199999999999</v>
      </c>
      <c r="AF237" s="1">
        <f t="shared" si="53"/>
        <v>185.11199999999999</v>
      </c>
    </row>
    <row r="238" spans="1:32" ht="14.25" customHeight="1" x14ac:dyDescent="0.3">
      <c r="A238" s="1" t="s">
        <v>378</v>
      </c>
      <c r="B238" s="1" t="s">
        <v>379</v>
      </c>
      <c r="C238" s="1" t="s">
        <v>380</v>
      </c>
      <c r="D238" s="1" t="str">
        <f t="shared" si="41"/>
        <v>Aaron Thompson</v>
      </c>
      <c r="E238" s="1">
        <v>47</v>
      </c>
      <c r="F238" s="1" t="s">
        <v>34</v>
      </c>
      <c r="G238" s="1" t="s">
        <v>83</v>
      </c>
      <c r="H238" s="1" t="s">
        <v>381</v>
      </c>
      <c r="I238" s="1" t="s">
        <v>382</v>
      </c>
      <c r="J238" s="1" t="s">
        <v>383</v>
      </c>
      <c r="K238" s="2">
        <v>45054</v>
      </c>
      <c r="L238" s="2" t="str">
        <f t="shared" si="42"/>
        <v>May</v>
      </c>
      <c r="M238" s="1" t="s">
        <v>384</v>
      </c>
      <c r="N238" s="1" t="s">
        <v>280</v>
      </c>
      <c r="O238" s="1">
        <v>157.63999999999999</v>
      </c>
      <c r="P238" s="1">
        <v>4</v>
      </c>
      <c r="Q238" s="1">
        <f t="shared" si="43"/>
        <v>630.55999999999995</v>
      </c>
      <c r="R238" s="1" t="s">
        <v>29</v>
      </c>
      <c r="S238" s="1">
        <f t="shared" si="44"/>
        <v>50.444799999999994</v>
      </c>
      <c r="T238" s="1">
        <f t="shared" si="45"/>
        <v>580.11519999999996</v>
      </c>
      <c r="U238" s="1">
        <v>4</v>
      </c>
      <c r="V238" s="1">
        <f t="shared" si="46"/>
        <v>624.11519999999996</v>
      </c>
      <c r="W238" s="1">
        <v>44</v>
      </c>
      <c r="X238" s="2">
        <v>45061</v>
      </c>
      <c r="Y238" s="1" t="s">
        <v>385</v>
      </c>
      <c r="Z238" s="1">
        <f t="shared" si="47"/>
        <v>674.56</v>
      </c>
      <c r="AA238" s="1">
        <f t="shared" si="48"/>
        <v>7</v>
      </c>
      <c r="AB238" s="1" t="str">
        <f t="shared" si="49"/>
        <v>Late</v>
      </c>
      <c r="AC238" s="1">
        <f t="shared" si="50"/>
        <v>630.55999999999995</v>
      </c>
      <c r="AD238" s="7">
        <f t="shared" si="51"/>
        <v>0.08</v>
      </c>
      <c r="AE238" s="1">
        <f t="shared" si="52"/>
        <v>50.444799999999994</v>
      </c>
      <c r="AF238" s="1">
        <f t="shared" si="53"/>
        <v>94.444799999999987</v>
      </c>
    </row>
    <row r="239" spans="1:32" ht="14.25" customHeight="1" x14ac:dyDescent="0.3">
      <c r="A239" s="1" t="s">
        <v>100</v>
      </c>
      <c r="B239" s="1" t="s">
        <v>101</v>
      </c>
      <c r="C239" s="1" t="s">
        <v>102</v>
      </c>
      <c r="D239" s="1" t="str">
        <f t="shared" si="41"/>
        <v>Debra Rodriguez</v>
      </c>
      <c r="E239" s="1">
        <v>48</v>
      </c>
      <c r="F239" s="1" t="s">
        <v>45</v>
      </c>
      <c r="G239" s="1" t="s">
        <v>35</v>
      </c>
      <c r="H239" s="1" t="s">
        <v>103</v>
      </c>
      <c r="I239" s="1" t="s">
        <v>104</v>
      </c>
      <c r="J239" s="1" t="s">
        <v>1784</v>
      </c>
      <c r="K239" s="2">
        <v>45661</v>
      </c>
      <c r="L239" s="2" t="str">
        <f t="shared" si="42"/>
        <v>January</v>
      </c>
      <c r="M239" s="1" t="s">
        <v>1000</v>
      </c>
      <c r="N239" s="1" t="s">
        <v>280</v>
      </c>
      <c r="O239" s="1">
        <v>157.63999999999999</v>
      </c>
      <c r="P239" s="1">
        <v>4</v>
      </c>
      <c r="Q239" s="1">
        <f t="shared" si="43"/>
        <v>630.55999999999995</v>
      </c>
      <c r="R239" s="1" t="s">
        <v>56</v>
      </c>
      <c r="S239" s="1">
        <f t="shared" si="44"/>
        <v>0</v>
      </c>
      <c r="T239" s="1">
        <f t="shared" si="45"/>
        <v>630.55999999999995</v>
      </c>
      <c r="U239" s="1">
        <v>7</v>
      </c>
      <c r="V239" s="1">
        <f t="shared" si="46"/>
        <v>672.56</v>
      </c>
      <c r="W239" s="1">
        <v>42</v>
      </c>
      <c r="X239" s="2">
        <v>45663</v>
      </c>
      <c r="Y239" s="1" t="s">
        <v>1785</v>
      </c>
      <c r="Z239" s="1">
        <f t="shared" si="47"/>
        <v>672.56</v>
      </c>
      <c r="AA239" s="1">
        <f t="shared" si="48"/>
        <v>2</v>
      </c>
      <c r="AB239" s="1" t="str">
        <f t="shared" si="49"/>
        <v>BeforeTime</v>
      </c>
      <c r="AC239" s="1">
        <f t="shared" si="50"/>
        <v>630.55999999999995</v>
      </c>
      <c r="AD239" s="7">
        <f t="shared" si="51"/>
        <v>0</v>
      </c>
      <c r="AE239" s="1">
        <f t="shared" si="52"/>
        <v>0</v>
      </c>
      <c r="AF239" s="1">
        <f t="shared" si="53"/>
        <v>0</v>
      </c>
    </row>
    <row r="240" spans="1:32" ht="14.25" customHeight="1" x14ac:dyDescent="0.3">
      <c r="A240" s="1" t="s">
        <v>698</v>
      </c>
      <c r="B240" s="1" t="s">
        <v>699</v>
      </c>
      <c r="C240" s="1" t="s">
        <v>700</v>
      </c>
      <c r="D240" s="1" t="str">
        <f t="shared" si="41"/>
        <v>Gregory Lee</v>
      </c>
      <c r="E240" s="1">
        <v>26</v>
      </c>
      <c r="F240" s="1" t="s">
        <v>45</v>
      </c>
      <c r="G240" s="1" t="s">
        <v>69</v>
      </c>
      <c r="H240" s="1" t="s">
        <v>701</v>
      </c>
      <c r="I240" s="1" t="s">
        <v>702</v>
      </c>
      <c r="J240" s="1" t="s">
        <v>703</v>
      </c>
      <c r="K240" s="2">
        <v>45432</v>
      </c>
      <c r="L240" s="2" t="str">
        <f t="shared" si="42"/>
        <v>May</v>
      </c>
      <c r="M240" s="1" t="s">
        <v>704</v>
      </c>
      <c r="N240" s="1" t="s">
        <v>28</v>
      </c>
      <c r="O240" s="1">
        <v>308.88</v>
      </c>
      <c r="P240" s="1">
        <v>2</v>
      </c>
      <c r="Q240" s="1">
        <f t="shared" si="43"/>
        <v>617.76</v>
      </c>
      <c r="R240" s="1" t="s">
        <v>78</v>
      </c>
      <c r="S240" s="1">
        <f t="shared" si="44"/>
        <v>123.55200000000001</v>
      </c>
      <c r="T240" s="1">
        <f t="shared" si="45"/>
        <v>494.20799999999997</v>
      </c>
      <c r="U240" s="1">
        <v>4</v>
      </c>
      <c r="V240" s="1">
        <f t="shared" si="46"/>
        <v>555.20799999999997</v>
      </c>
      <c r="W240" s="1">
        <v>61</v>
      </c>
      <c r="X240" s="2">
        <v>45436</v>
      </c>
      <c r="Y240" s="1" t="s">
        <v>705</v>
      </c>
      <c r="Z240" s="1">
        <f t="shared" si="47"/>
        <v>678.76</v>
      </c>
      <c r="AA240" s="1">
        <f t="shared" si="48"/>
        <v>4</v>
      </c>
      <c r="AB240" s="1" t="str">
        <f t="shared" si="49"/>
        <v>Intime</v>
      </c>
      <c r="AC240" s="1">
        <f t="shared" si="50"/>
        <v>617.76</v>
      </c>
      <c r="AD240" s="7">
        <f t="shared" si="51"/>
        <v>0.2</v>
      </c>
      <c r="AE240" s="1">
        <f t="shared" si="52"/>
        <v>123.55200000000001</v>
      </c>
      <c r="AF240" s="1">
        <f t="shared" si="53"/>
        <v>184.55200000000002</v>
      </c>
    </row>
    <row r="241" spans="1:32" ht="14.25" customHeight="1" x14ac:dyDescent="0.3">
      <c r="A241" s="1" t="s">
        <v>1868</v>
      </c>
      <c r="B241" s="1" t="s">
        <v>1097</v>
      </c>
      <c r="C241" s="1" t="s">
        <v>1869</v>
      </c>
      <c r="D241" s="1" t="str">
        <f t="shared" si="41"/>
        <v>Gary Jacobs</v>
      </c>
      <c r="E241" s="1">
        <v>64</v>
      </c>
      <c r="F241" s="1" t="s">
        <v>34</v>
      </c>
      <c r="G241" s="1" t="s">
        <v>69</v>
      </c>
      <c r="H241" s="1" t="s">
        <v>1870</v>
      </c>
      <c r="I241" s="1" t="s">
        <v>1871</v>
      </c>
      <c r="J241" s="1" t="s">
        <v>1875</v>
      </c>
      <c r="K241" s="2">
        <v>45539</v>
      </c>
      <c r="L241" s="2" t="str">
        <f t="shared" si="42"/>
        <v>September</v>
      </c>
      <c r="M241" s="1" t="s">
        <v>1876</v>
      </c>
      <c r="N241" s="1" t="s">
        <v>28</v>
      </c>
      <c r="O241" s="1">
        <v>308.88</v>
      </c>
      <c r="P241" s="1">
        <v>2</v>
      </c>
      <c r="Q241" s="1">
        <f t="shared" si="43"/>
        <v>617.76</v>
      </c>
      <c r="R241" s="1" t="s">
        <v>78</v>
      </c>
      <c r="S241" s="1">
        <f t="shared" si="44"/>
        <v>123.55200000000001</v>
      </c>
      <c r="T241" s="1">
        <f t="shared" si="45"/>
        <v>494.20799999999997</v>
      </c>
      <c r="U241" s="1">
        <v>2</v>
      </c>
      <c r="V241" s="1">
        <f t="shared" si="46"/>
        <v>549.20799999999997</v>
      </c>
      <c r="W241" s="1">
        <v>55</v>
      </c>
      <c r="X241" s="2">
        <v>45541</v>
      </c>
      <c r="Y241" s="1" t="s">
        <v>1877</v>
      </c>
      <c r="Z241" s="1">
        <f t="shared" si="47"/>
        <v>672.76</v>
      </c>
      <c r="AA241" s="1">
        <f t="shared" si="48"/>
        <v>2</v>
      </c>
      <c r="AB241" s="1" t="str">
        <f t="shared" si="49"/>
        <v>Intime</v>
      </c>
      <c r="AC241" s="1">
        <f t="shared" si="50"/>
        <v>617.76</v>
      </c>
      <c r="AD241" s="7">
        <f t="shared" si="51"/>
        <v>0.2</v>
      </c>
      <c r="AE241" s="1">
        <f t="shared" si="52"/>
        <v>123.55200000000001</v>
      </c>
      <c r="AF241" s="1">
        <f t="shared" si="53"/>
        <v>178.55200000000002</v>
      </c>
    </row>
    <row r="242" spans="1:32" ht="14.25" customHeight="1" x14ac:dyDescent="0.3">
      <c r="A242" s="1" t="s">
        <v>428</v>
      </c>
      <c r="B242" s="1" t="s">
        <v>429</v>
      </c>
      <c r="C242" s="1" t="s">
        <v>430</v>
      </c>
      <c r="D242" s="1" t="str">
        <f t="shared" si="41"/>
        <v>Mary Knight</v>
      </c>
      <c r="E242" s="1">
        <v>28</v>
      </c>
      <c r="F242" s="1" t="s">
        <v>45</v>
      </c>
      <c r="G242" s="1" t="s">
        <v>69</v>
      </c>
      <c r="H242" s="1" t="s">
        <v>431</v>
      </c>
      <c r="I242" s="1" t="s">
        <v>432</v>
      </c>
      <c r="J242" s="1" t="s">
        <v>1054</v>
      </c>
      <c r="K242" s="2">
        <v>45523</v>
      </c>
      <c r="L242" s="2" t="str">
        <f t="shared" si="42"/>
        <v>August</v>
      </c>
      <c r="M242" s="1" t="s">
        <v>1055</v>
      </c>
      <c r="N242" s="1" t="s">
        <v>864</v>
      </c>
      <c r="O242" s="1">
        <v>292.14999999999998</v>
      </c>
      <c r="P242" s="1">
        <v>2</v>
      </c>
      <c r="Q242" s="1">
        <f t="shared" si="43"/>
        <v>584.29999999999995</v>
      </c>
      <c r="R242" s="1" t="s">
        <v>51</v>
      </c>
      <c r="S242" s="1">
        <f t="shared" si="44"/>
        <v>87.644999999999996</v>
      </c>
      <c r="T242" s="1">
        <f t="shared" si="45"/>
        <v>496.65499999999997</v>
      </c>
      <c r="U242" s="1">
        <v>4</v>
      </c>
      <c r="V242" s="1">
        <f t="shared" si="46"/>
        <v>554.65499999999997</v>
      </c>
      <c r="W242" s="1">
        <v>58</v>
      </c>
      <c r="X242" s="2">
        <v>45526</v>
      </c>
      <c r="Y242" s="1" t="s">
        <v>1056</v>
      </c>
      <c r="Z242" s="1">
        <f t="shared" si="47"/>
        <v>642.29999999999995</v>
      </c>
      <c r="AA242" s="1">
        <f t="shared" si="48"/>
        <v>3</v>
      </c>
      <c r="AB242" s="1" t="str">
        <f t="shared" si="49"/>
        <v>BeforeTime</v>
      </c>
      <c r="AC242" s="1">
        <f t="shared" si="50"/>
        <v>584.29999999999995</v>
      </c>
      <c r="AD242" s="7">
        <f t="shared" si="51"/>
        <v>0.15</v>
      </c>
      <c r="AE242" s="1">
        <f t="shared" si="52"/>
        <v>87.644999999999996</v>
      </c>
      <c r="AF242" s="1">
        <f t="shared" si="53"/>
        <v>145.64499999999998</v>
      </c>
    </row>
    <row r="243" spans="1:32" ht="14.25" customHeight="1" x14ac:dyDescent="0.3">
      <c r="A243" s="1" t="s">
        <v>709</v>
      </c>
      <c r="B243" s="1" t="s">
        <v>710</v>
      </c>
      <c r="C243" s="1" t="s">
        <v>711</v>
      </c>
      <c r="D243" s="1" t="str">
        <f t="shared" si="41"/>
        <v>Bruce Allen</v>
      </c>
      <c r="E243" s="1">
        <v>32</v>
      </c>
      <c r="F243" s="1" t="s">
        <v>34</v>
      </c>
      <c r="G243" s="1" t="s">
        <v>23</v>
      </c>
      <c r="H243" s="1" t="s">
        <v>712</v>
      </c>
      <c r="I243" s="1" t="s">
        <v>713</v>
      </c>
      <c r="J243" s="1" t="s">
        <v>1699</v>
      </c>
      <c r="K243" s="2">
        <v>45343</v>
      </c>
      <c r="L243" s="2" t="str">
        <f t="shared" si="42"/>
        <v>February</v>
      </c>
      <c r="M243" s="1" t="s">
        <v>1700</v>
      </c>
      <c r="N243" s="1" t="s">
        <v>864</v>
      </c>
      <c r="O243" s="1">
        <v>292.14999999999998</v>
      </c>
      <c r="P243" s="1">
        <v>2</v>
      </c>
      <c r="Q243" s="1">
        <f t="shared" si="43"/>
        <v>584.29999999999995</v>
      </c>
      <c r="R243" s="1" t="s">
        <v>51</v>
      </c>
      <c r="S243" s="1">
        <f t="shared" si="44"/>
        <v>87.644999999999996</v>
      </c>
      <c r="T243" s="1">
        <f t="shared" si="45"/>
        <v>496.65499999999997</v>
      </c>
      <c r="U243" s="1">
        <v>6</v>
      </c>
      <c r="V243" s="1">
        <f t="shared" si="46"/>
        <v>556.65499999999997</v>
      </c>
      <c r="W243" s="1">
        <v>60</v>
      </c>
      <c r="X243" s="2">
        <v>45348</v>
      </c>
      <c r="Y243" s="1" t="s">
        <v>1701</v>
      </c>
      <c r="Z243" s="1">
        <f t="shared" si="47"/>
        <v>644.29999999999995</v>
      </c>
      <c r="AA243" s="1">
        <f t="shared" si="48"/>
        <v>5</v>
      </c>
      <c r="AB243" s="1" t="str">
        <f t="shared" si="49"/>
        <v>BeforeTime</v>
      </c>
      <c r="AC243" s="1">
        <f t="shared" si="50"/>
        <v>584.29999999999995</v>
      </c>
      <c r="AD243" s="7">
        <f t="shared" si="51"/>
        <v>0.15</v>
      </c>
      <c r="AE243" s="1">
        <f t="shared" si="52"/>
        <v>87.644999999999996</v>
      </c>
      <c r="AF243" s="1">
        <f t="shared" si="53"/>
        <v>147.64499999999998</v>
      </c>
    </row>
    <row r="244" spans="1:32" ht="14.25" customHeight="1" x14ac:dyDescent="0.3">
      <c r="A244" s="1" t="s">
        <v>428</v>
      </c>
      <c r="B244" s="1" t="s">
        <v>429</v>
      </c>
      <c r="C244" s="1" t="s">
        <v>430</v>
      </c>
      <c r="D244" s="1" t="str">
        <f t="shared" si="41"/>
        <v>Mary Knight</v>
      </c>
      <c r="E244" s="1">
        <v>28</v>
      </c>
      <c r="F244" s="1" t="s">
        <v>45</v>
      </c>
      <c r="G244" s="1" t="s">
        <v>69</v>
      </c>
      <c r="H244" s="1" t="s">
        <v>431</v>
      </c>
      <c r="I244" s="1" t="s">
        <v>432</v>
      </c>
      <c r="J244" s="1" t="s">
        <v>909</v>
      </c>
      <c r="K244" s="2">
        <v>45482</v>
      </c>
      <c r="L244" s="2" t="str">
        <f t="shared" si="42"/>
        <v>July</v>
      </c>
      <c r="M244" s="1" t="s">
        <v>910</v>
      </c>
      <c r="N244" s="1" t="s">
        <v>466</v>
      </c>
      <c r="O244" s="1">
        <v>286.07</v>
      </c>
      <c r="P244" s="1">
        <v>2</v>
      </c>
      <c r="Q244" s="1">
        <f t="shared" si="43"/>
        <v>572.14</v>
      </c>
      <c r="R244" s="1" t="s">
        <v>29</v>
      </c>
      <c r="S244" s="1">
        <f t="shared" si="44"/>
        <v>45.7712</v>
      </c>
      <c r="T244" s="1">
        <f t="shared" si="45"/>
        <v>526.36879999999996</v>
      </c>
      <c r="U244" s="1">
        <v>3</v>
      </c>
      <c r="V244" s="1">
        <f t="shared" si="46"/>
        <v>580.36879999999996</v>
      </c>
      <c r="W244" s="1">
        <v>54</v>
      </c>
      <c r="X244" s="2">
        <v>45485</v>
      </c>
      <c r="Y244" s="1" t="s">
        <v>911</v>
      </c>
      <c r="Z244" s="1">
        <f t="shared" si="47"/>
        <v>626.14</v>
      </c>
      <c r="AA244" s="1">
        <f t="shared" si="48"/>
        <v>3</v>
      </c>
      <c r="AB244" s="1" t="str">
        <f t="shared" si="49"/>
        <v>Intime</v>
      </c>
      <c r="AC244" s="1">
        <f t="shared" si="50"/>
        <v>572.14</v>
      </c>
      <c r="AD244" s="7">
        <f t="shared" si="51"/>
        <v>0.08</v>
      </c>
      <c r="AE244" s="1">
        <f t="shared" si="52"/>
        <v>45.7712</v>
      </c>
      <c r="AF244" s="1">
        <f t="shared" si="53"/>
        <v>99.771199999999993</v>
      </c>
    </row>
    <row r="245" spans="1:32" ht="14.25" customHeight="1" x14ac:dyDescent="0.3">
      <c r="A245" s="1" t="s">
        <v>1214</v>
      </c>
      <c r="B245" s="1" t="s">
        <v>1215</v>
      </c>
      <c r="C245" s="1" t="s">
        <v>1216</v>
      </c>
      <c r="D245" s="1" t="str">
        <f t="shared" si="41"/>
        <v>Jessica Ruiz</v>
      </c>
      <c r="E245" s="1">
        <v>19</v>
      </c>
      <c r="F245" s="1" t="s">
        <v>34</v>
      </c>
      <c r="G245" s="1" t="s">
        <v>69</v>
      </c>
      <c r="H245" s="1" t="s">
        <v>1217</v>
      </c>
      <c r="I245" s="1" t="s">
        <v>1218</v>
      </c>
      <c r="J245" s="1" t="s">
        <v>1308</v>
      </c>
      <c r="K245" s="2">
        <v>44997</v>
      </c>
      <c r="L245" s="2" t="str">
        <f t="shared" si="42"/>
        <v>March</v>
      </c>
      <c r="M245" s="1" t="s">
        <v>1309</v>
      </c>
      <c r="N245" s="1" t="s">
        <v>138</v>
      </c>
      <c r="O245" s="1">
        <v>190.1</v>
      </c>
      <c r="P245" s="1">
        <v>3</v>
      </c>
      <c r="Q245" s="1">
        <f t="shared" si="43"/>
        <v>570.29999999999995</v>
      </c>
      <c r="R245" s="1" t="s">
        <v>29</v>
      </c>
      <c r="S245" s="1">
        <f t="shared" si="44"/>
        <v>45.623999999999995</v>
      </c>
      <c r="T245" s="1">
        <f t="shared" si="45"/>
        <v>524.67599999999993</v>
      </c>
      <c r="U245" s="1">
        <v>4</v>
      </c>
      <c r="V245" s="1">
        <f t="shared" si="46"/>
        <v>587.67599999999993</v>
      </c>
      <c r="W245" s="1">
        <v>63</v>
      </c>
      <c r="X245" s="2">
        <v>45002</v>
      </c>
      <c r="Y245" s="1" t="s">
        <v>1310</v>
      </c>
      <c r="Z245" s="1">
        <f t="shared" si="47"/>
        <v>633.29999999999995</v>
      </c>
      <c r="AA245" s="1">
        <f t="shared" si="48"/>
        <v>5</v>
      </c>
      <c r="AB245" s="1" t="str">
        <f t="shared" si="49"/>
        <v>Late</v>
      </c>
      <c r="AC245" s="1">
        <f t="shared" si="50"/>
        <v>570.29999999999995</v>
      </c>
      <c r="AD245" s="7">
        <f t="shared" si="51"/>
        <v>0.08</v>
      </c>
      <c r="AE245" s="1">
        <f t="shared" si="52"/>
        <v>45.623999999999995</v>
      </c>
      <c r="AF245" s="1">
        <f t="shared" si="53"/>
        <v>108.624</v>
      </c>
    </row>
    <row r="246" spans="1:32" ht="14.25" customHeight="1" x14ac:dyDescent="0.3">
      <c r="A246" s="1" t="s">
        <v>664</v>
      </c>
      <c r="B246" s="1" t="s">
        <v>665</v>
      </c>
      <c r="C246" s="1" t="s">
        <v>666</v>
      </c>
      <c r="D246" s="1" t="str">
        <f t="shared" si="41"/>
        <v>Christy Chang</v>
      </c>
      <c r="E246" s="1">
        <v>38</v>
      </c>
      <c r="F246" s="1" t="s">
        <v>34</v>
      </c>
      <c r="G246" s="1" t="s">
        <v>213</v>
      </c>
      <c r="H246" s="1" t="s">
        <v>667</v>
      </c>
      <c r="I246" s="1" t="s">
        <v>668</v>
      </c>
      <c r="J246" s="1" t="s">
        <v>1708</v>
      </c>
      <c r="K246" s="2">
        <v>45312</v>
      </c>
      <c r="L246" s="2" t="str">
        <f t="shared" si="42"/>
        <v>January</v>
      </c>
      <c r="M246" s="1" t="s">
        <v>1709</v>
      </c>
      <c r="N246" s="1" t="s">
        <v>138</v>
      </c>
      <c r="O246" s="1">
        <v>190.1</v>
      </c>
      <c r="P246" s="1">
        <v>3</v>
      </c>
      <c r="Q246" s="1">
        <f t="shared" si="43"/>
        <v>570.29999999999995</v>
      </c>
      <c r="R246" s="1" t="s">
        <v>89</v>
      </c>
      <c r="S246" s="1">
        <f t="shared" si="44"/>
        <v>57.03</v>
      </c>
      <c r="T246" s="1">
        <f t="shared" si="45"/>
        <v>513.27</v>
      </c>
      <c r="U246" s="1">
        <v>3</v>
      </c>
      <c r="V246" s="1">
        <f t="shared" si="46"/>
        <v>554.27</v>
      </c>
      <c r="W246" s="1">
        <v>41</v>
      </c>
      <c r="X246" s="2">
        <v>45315</v>
      </c>
      <c r="Y246" s="1" t="s">
        <v>1710</v>
      </c>
      <c r="Z246" s="1">
        <f t="shared" si="47"/>
        <v>611.29999999999995</v>
      </c>
      <c r="AA246" s="1">
        <f t="shared" si="48"/>
        <v>3</v>
      </c>
      <c r="AB246" s="1" t="str">
        <f t="shared" si="49"/>
        <v>Intime</v>
      </c>
      <c r="AC246" s="1">
        <f t="shared" si="50"/>
        <v>570.29999999999995</v>
      </c>
      <c r="AD246" s="7">
        <f t="shared" si="51"/>
        <v>0.1</v>
      </c>
      <c r="AE246" s="1">
        <f t="shared" si="52"/>
        <v>57.03</v>
      </c>
      <c r="AF246" s="1">
        <f t="shared" si="53"/>
        <v>98.03</v>
      </c>
    </row>
    <row r="247" spans="1:32" ht="14.25" customHeight="1" x14ac:dyDescent="0.3">
      <c r="A247" s="1" t="s">
        <v>1239</v>
      </c>
      <c r="B247" s="1" t="s">
        <v>59</v>
      </c>
      <c r="C247" s="1" t="s">
        <v>1240</v>
      </c>
      <c r="D247" s="1" t="str">
        <f t="shared" si="41"/>
        <v>Angela Casey</v>
      </c>
      <c r="E247" s="1">
        <v>40</v>
      </c>
      <c r="F247" s="1" t="s">
        <v>22</v>
      </c>
      <c r="G247" s="1" t="s">
        <v>69</v>
      </c>
      <c r="H247" s="1" t="s">
        <v>1241</v>
      </c>
      <c r="I247" s="1" t="s">
        <v>1242</v>
      </c>
      <c r="J247" s="1" t="s">
        <v>1623</v>
      </c>
      <c r="K247" s="2">
        <v>45193</v>
      </c>
      <c r="L247" s="2" t="str">
        <f t="shared" si="42"/>
        <v>September</v>
      </c>
      <c r="M247" s="1" t="s">
        <v>1624</v>
      </c>
      <c r="N247" s="1" t="s">
        <v>239</v>
      </c>
      <c r="O247" s="1">
        <v>282.63</v>
      </c>
      <c r="P247" s="1">
        <v>2</v>
      </c>
      <c r="Q247" s="1">
        <f t="shared" si="43"/>
        <v>565.26</v>
      </c>
      <c r="R247" s="1" t="s">
        <v>51</v>
      </c>
      <c r="S247" s="1">
        <f t="shared" si="44"/>
        <v>84.789000000000001</v>
      </c>
      <c r="T247" s="1">
        <f t="shared" si="45"/>
        <v>480.471</v>
      </c>
      <c r="U247" s="1">
        <v>6</v>
      </c>
      <c r="V247" s="1">
        <f t="shared" si="46"/>
        <v>542.471</v>
      </c>
      <c r="W247" s="1">
        <v>62</v>
      </c>
      <c r="X247" s="2">
        <v>45194</v>
      </c>
      <c r="Y247" s="1" t="s">
        <v>1625</v>
      </c>
      <c r="Z247" s="1">
        <f t="shared" si="47"/>
        <v>627.26</v>
      </c>
      <c r="AA247" s="1">
        <f t="shared" si="48"/>
        <v>1</v>
      </c>
      <c r="AB247" s="1" t="str">
        <f t="shared" si="49"/>
        <v>BeforeTime</v>
      </c>
      <c r="AC247" s="1">
        <f t="shared" si="50"/>
        <v>565.26</v>
      </c>
      <c r="AD247" s="7">
        <f t="shared" si="51"/>
        <v>0.15</v>
      </c>
      <c r="AE247" s="1">
        <f t="shared" si="52"/>
        <v>84.789000000000001</v>
      </c>
      <c r="AF247" s="1">
        <f t="shared" si="53"/>
        <v>146.78899999999999</v>
      </c>
    </row>
    <row r="248" spans="1:32" ht="14.25" customHeight="1" x14ac:dyDescent="0.3">
      <c r="A248" s="1" t="s">
        <v>918</v>
      </c>
      <c r="B248" s="1" t="s">
        <v>919</v>
      </c>
      <c r="C248" s="1" t="s">
        <v>920</v>
      </c>
      <c r="D248" s="1" t="str">
        <f t="shared" si="41"/>
        <v>Rachael Robinson</v>
      </c>
      <c r="E248" s="1">
        <v>24</v>
      </c>
      <c r="F248" s="1" t="s">
        <v>45</v>
      </c>
      <c r="G248" s="1" t="s">
        <v>213</v>
      </c>
      <c r="H248" s="1" t="s">
        <v>921</v>
      </c>
      <c r="I248" s="1" t="s">
        <v>922</v>
      </c>
      <c r="J248" s="1" t="s">
        <v>923</v>
      </c>
      <c r="K248" s="2">
        <v>45045</v>
      </c>
      <c r="L248" s="2" t="str">
        <f t="shared" si="42"/>
        <v>April</v>
      </c>
      <c r="M248" s="1" t="s">
        <v>924</v>
      </c>
      <c r="N248" s="1" t="s">
        <v>731</v>
      </c>
      <c r="O248" s="1">
        <v>110.95</v>
      </c>
      <c r="P248" s="1">
        <v>5</v>
      </c>
      <c r="Q248" s="1">
        <f t="shared" si="43"/>
        <v>554.75</v>
      </c>
      <c r="R248" s="1" t="s">
        <v>78</v>
      </c>
      <c r="S248" s="1">
        <f t="shared" si="44"/>
        <v>110.95</v>
      </c>
      <c r="T248" s="1">
        <f t="shared" si="45"/>
        <v>443.8</v>
      </c>
      <c r="U248" s="1">
        <v>5</v>
      </c>
      <c r="V248" s="1">
        <f t="shared" si="46"/>
        <v>505.8</v>
      </c>
      <c r="W248" s="1">
        <v>62</v>
      </c>
      <c r="X248" s="2">
        <v>45047</v>
      </c>
      <c r="Y248" s="1" t="s">
        <v>925</v>
      </c>
      <c r="Z248" s="1">
        <f t="shared" si="47"/>
        <v>616.75</v>
      </c>
      <c r="AA248" s="1">
        <f t="shared" si="48"/>
        <v>2</v>
      </c>
      <c r="AB248" s="1" t="str">
        <f t="shared" si="49"/>
        <v>BeforeTime</v>
      </c>
      <c r="AC248" s="1">
        <f t="shared" si="50"/>
        <v>554.75</v>
      </c>
      <c r="AD248" s="7">
        <f t="shared" si="51"/>
        <v>0.2</v>
      </c>
      <c r="AE248" s="1">
        <f t="shared" si="52"/>
        <v>110.95</v>
      </c>
      <c r="AF248" s="1">
        <f t="shared" si="53"/>
        <v>172.95</v>
      </c>
    </row>
    <row r="249" spans="1:32" ht="14.25" customHeight="1" x14ac:dyDescent="0.3">
      <c r="A249" s="1" t="s">
        <v>918</v>
      </c>
      <c r="B249" s="1" t="s">
        <v>919</v>
      </c>
      <c r="C249" s="1" t="s">
        <v>920</v>
      </c>
      <c r="D249" s="1" t="str">
        <f t="shared" si="41"/>
        <v>Rachael Robinson</v>
      </c>
      <c r="E249" s="1">
        <v>24</v>
      </c>
      <c r="F249" s="1" t="s">
        <v>45</v>
      </c>
      <c r="G249" s="1" t="s">
        <v>213</v>
      </c>
      <c r="H249" s="1" t="s">
        <v>921</v>
      </c>
      <c r="I249" s="1" t="s">
        <v>922</v>
      </c>
      <c r="J249" s="1" t="s">
        <v>1110</v>
      </c>
      <c r="K249" s="2">
        <v>45271</v>
      </c>
      <c r="L249" s="2" t="str">
        <f t="shared" si="42"/>
        <v>December</v>
      </c>
      <c r="M249" s="1" t="s">
        <v>1111</v>
      </c>
      <c r="N249" s="1" t="s">
        <v>98</v>
      </c>
      <c r="O249" s="1">
        <v>275.44</v>
      </c>
      <c r="P249" s="1">
        <v>2</v>
      </c>
      <c r="Q249" s="1">
        <f t="shared" si="43"/>
        <v>550.88</v>
      </c>
      <c r="R249" s="1" t="s">
        <v>29</v>
      </c>
      <c r="S249" s="1">
        <f t="shared" si="44"/>
        <v>44.070399999999999</v>
      </c>
      <c r="T249" s="1">
        <f t="shared" si="45"/>
        <v>506.80959999999999</v>
      </c>
      <c r="U249" s="1">
        <v>2</v>
      </c>
      <c r="V249" s="1">
        <f t="shared" si="46"/>
        <v>542.80960000000005</v>
      </c>
      <c r="W249" s="1">
        <v>36</v>
      </c>
      <c r="X249" s="2">
        <v>45276</v>
      </c>
      <c r="Y249" s="1" t="s">
        <v>1112</v>
      </c>
      <c r="Z249" s="1">
        <f t="shared" si="47"/>
        <v>586.88</v>
      </c>
      <c r="AA249" s="1">
        <f t="shared" si="48"/>
        <v>5</v>
      </c>
      <c r="AB249" s="1" t="str">
        <f t="shared" si="49"/>
        <v>Late</v>
      </c>
      <c r="AC249" s="1">
        <f t="shared" si="50"/>
        <v>550.88</v>
      </c>
      <c r="AD249" s="7">
        <f t="shared" si="51"/>
        <v>0.08</v>
      </c>
      <c r="AE249" s="1">
        <f t="shared" si="52"/>
        <v>44.070399999999999</v>
      </c>
      <c r="AF249" s="1">
        <f t="shared" si="53"/>
        <v>80.070400000000006</v>
      </c>
    </row>
    <row r="250" spans="1:32" ht="14.25" customHeight="1" x14ac:dyDescent="0.3">
      <c r="A250" s="1" t="s">
        <v>824</v>
      </c>
      <c r="B250" s="1" t="s">
        <v>825</v>
      </c>
      <c r="C250" s="1" t="s">
        <v>826</v>
      </c>
      <c r="D250" s="1" t="str">
        <f t="shared" si="41"/>
        <v>James Brown</v>
      </c>
      <c r="E250" s="1">
        <v>60</v>
      </c>
      <c r="F250" s="1" t="s">
        <v>22</v>
      </c>
      <c r="G250" s="1" t="s">
        <v>133</v>
      </c>
      <c r="H250" s="1" t="s">
        <v>827</v>
      </c>
      <c r="I250" s="1" t="s">
        <v>828</v>
      </c>
      <c r="J250" s="1" t="s">
        <v>1527</v>
      </c>
      <c r="K250" s="2">
        <v>45053</v>
      </c>
      <c r="L250" s="2" t="str">
        <f t="shared" si="42"/>
        <v>May</v>
      </c>
      <c r="M250" s="1" t="s">
        <v>1528</v>
      </c>
      <c r="N250" s="1" t="s">
        <v>98</v>
      </c>
      <c r="O250" s="1">
        <v>275.44</v>
      </c>
      <c r="P250" s="1">
        <v>2</v>
      </c>
      <c r="Q250" s="1">
        <f t="shared" si="43"/>
        <v>550.88</v>
      </c>
      <c r="R250" s="1" t="s">
        <v>51</v>
      </c>
      <c r="S250" s="1">
        <f t="shared" si="44"/>
        <v>82.631999999999991</v>
      </c>
      <c r="T250" s="1">
        <f t="shared" si="45"/>
        <v>468.24799999999999</v>
      </c>
      <c r="U250" s="1">
        <v>4</v>
      </c>
      <c r="V250" s="1">
        <f t="shared" si="46"/>
        <v>522.24800000000005</v>
      </c>
      <c r="W250" s="1">
        <v>54</v>
      </c>
      <c r="X250" s="2">
        <v>45059</v>
      </c>
      <c r="Y250" s="1" t="s">
        <v>1529</v>
      </c>
      <c r="Z250" s="1">
        <f t="shared" si="47"/>
        <v>604.88</v>
      </c>
      <c r="AA250" s="1">
        <f t="shared" si="48"/>
        <v>6</v>
      </c>
      <c r="AB250" s="1" t="str">
        <f t="shared" si="49"/>
        <v>Late</v>
      </c>
      <c r="AC250" s="1">
        <f t="shared" si="50"/>
        <v>550.88</v>
      </c>
      <c r="AD250" s="7">
        <f t="shared" si="51"/>
        <v>0.15</v>
      </c>
      <c r="AE250" s="1">
        <f t="shared" si="52"/>
        <v>82.631999999999991</v>
      </c>
      <c r="AF250" s="1">
        <f t="shared" si="53"/>
        <v>136.63200000000001</v>
      </c>
    </row>
    <row r="251" spans="1:32" ht="14.25" customHeight="1" x14ac:dyDescent="0.3">
      <c r="A251" s="1" t="s">
        <v>428</v>
      </c>
      <c r="B251" s="1" t="s">
        <v>429</v>
      </c>
      <c r="C251" s="1" t="s">
        <v>430</v>
      </c>
      <c r="D251" s="1" t="str">
        <f t="shared" si="41"/>
        <v>Mary Knight</v>
      </c>
      <c r="E251" s="1">
        <v>28</v>
      </c>
      <c r="F251" s="1" t="s">
        <v>45</v>
      </c>
      <c r="G251" s="1" t="s">
        <v>69</v>
      </c>
      <c r="H251" s="1" t="s">
        <v>431</v>
      </c>
      <c r="I251" s="1" t="s">
        <v>432</v>
      </c>
      <c r="J251" s="1" t="s">
        <v>1647</v>
      </c>
      <c r="K251" s="2">
        <v>45247</v>
      </c>
      <c r="L251" s="2" t="str">
        <f t="shared" si="42"/>
        <v>November</v>
      </c>
      <c r="M251" s="1" t="s">
        <v>1648</v>
      </c>
      <c r="N251" s="1" t="s">
        <v>98</v>
      </c>
      <c r="O251" s="1">
        <v>275.44</v>
      </c>
      <c r="P251" s="1">
        <v>2</v>
      </c>
      <c r="Q251" s="1">
        <f t="shared" si="43"/>
        <v>550.88</v>
      </c>
      <c r="R251" s="1" t="s">
        <v>78</v>
      </c>
      <c r="S251" s="1">
        <f t="shared" si="44"/>
        <v>110.176</v>
      </c>
      <c r="T251" s="1">
        <f t="shared" si="45"/>
        <v>440.70400000000001</v>
      </c>
      <c r="U251" s="1">
        <v>3</v>
      </c>
      <c r="V251" s="1">
        <f t="shared" si="46"/>
        <v>483.70400000000001</v>
      </c>
      <c r="W251" s="1">
        <v>43</v>
      </c>
      <c r="X251" s="2">
        <v>45251</v>
      </c>
      <c r="Y251" s="1" t="s">
        <v>1649</v>
      </c>
      <c r="Z251" s="1">
        <f t="shared" si="47"/>
        <v>593.88</v>
      </c>
      <c r="AA251" s="1">
        <f t="shared" si="48"/>
        <v>4</v>
      </c>
      <c r="AB251" s="1" t="str">
        <f t="shared" si="49"/>
        <v>Late</v>
      </c>
      <c r="AC251" s="1">
        <f t="shared" si="50"/>
        <v>550.88</v>
      </c>
      <c r="AD251" s="7">
        <f t="shared" si="51"/>
        <v>0.2</v>
      </c>
      <c r="AE251" s="1">
        <f t="shared" si="52"/>
        <v>110.176</v>
      </c>
      <c r="AF251" s="1">
        <f t="shared" si="53"/>
        <v>153.17599999999999</v>
      </c>
    </row>
    <row r="252" spans="1:32" ht="14.25" customHeight="1" x14ac:dyDescent="0.3">
      <c r="A252" s="1" t="s">
        <v>824</v>
      </c>
      <c r="B252" s="1" t="s">
        <v>825</v>
      </c>
      <c r="C252" s="1" t="s">
        <v>826</v>
      </c>
      <c r="D252" s="1" t="str">
        <f t="shared" si="41"/>
        <v>James Brown</v>
      </c>
      <c r="E252" s="1">
        <v>60</v>
      </c>
      <c r="F252" s="1" t="s">
        <v>22</v>
      </c>
      <c r="G252" s="1" t="s">
        <v>133</v>
      </c>
      <c r="H252" s="1" t="s">
        <v>827</v>
      </c>
      <c r="I252" s="1" t="s">
        <v>828</v>
      </c>
      <c r="J252" s="1" t="s">
        <v>829</v>
      </c>
      <c r="K252" s="2">
        <v>45663</v>
      </c>
      <c r="L252" s="2" t="str">
        <f t="shared" si="42"/>
        <v>January</v>
      </c>
      <c r="M252" s="1" t="s">
        <v>830</v>
      </c>
      <c r="N252" s="1" t="s">
        <v>507</v>
      </c>
      <c r="O252" s="1">
        <v>136.30000000000001</v>
      </c>
      <c r="P252" s="1">
        <v>4</v>
      </c>
      <c r="Q252" s="1">
        <f t="shared" si="43"/>
        <v>545.20000000000005</v>
      </c>
      <c r="R252" s="1" t="s">
        <v>56</v>
      </c>
      <c r="S252" s="1">
        <f t="shared" si="44"/>
        <v>0</v>
      </c>
      <c r="T252" s="1">
        <f t="shared" si="45"/>
        <v>545.20000000000005</v>
      </c>
      <c r="U252" s="1">
        <v>5</v>
      </c>
      <c r="V252" s="1">
        <f t="shared" si="46"/>
        <v>606.20000000000005</v>
      </c>
      <c r="W252" s="1">
        <v>61</v>
      </c>
      <c r="X252" s="2">
        <v>45668</v>
      </c>
      <c r="Y252" s="1" t="s">
        <v>831</v>
      </c>
      <c r="Z252" s="1">
        <f t="shared" si="47"/>
        <v>606.20000000000005</v>
      </c>
      <c r="AA252" s="1">
        <f t="shared" si="48"/>
        <v>5</v>
      </c>
      <c r="AB252" s="1" t="str">
        <f t="shared" si="49"/>
        <v>Intime</v>
      </c>
      <c r="AC252" s="1">
        <f t="shared" si="50"/>
        <v>545.20000000000005</v>
      </c>
      <c r="AD252" s="7">
        <f t="shared" si="51"/>
        <v>0</v>
      </c>
      <c r="AE252" s="1">
        <f t="shared" si="52"/>
        <v>0</v>
      </c>
      <c r="AF252" s="1">
        <f t="shared" si="53"/>
        <v>0</v>
      </c>
    </row>
    <row r="253" spans="1:32" ht="14.25" customHeight="1" x14ac:dyDescent="0.3">
      <c r="A253" s="1" t="s">
        <v>326</v>
      </c>
      <c r="B253" s="1" t="s">
        <v>327</v>
      </c>
      <c r="C253" s="1" t="s">
        <v>328</v>
      </c>
      <c r="D253" s="1" t="str">
        <f t="shared" si="41"/>
        <v>Julie Meyer</v>
      </c>
      <c r="E253" s="1">
        <v>23</v>
      </c>
      <c r="F253" s="1" t="s">
        <v>22</v>
      </c>
      <c r="G253" s="1" t="s">
        <v>23</v>
      </c>
      <c r="H253" s="1" t="s">
        <v>329</v>
      </c>
      <c r="I253" s="1" t="s">
        <v>330</v>
      </c>
      <c r="J253" s="1" t="s">
        <v>1518</v>
      </c>
      <c r="K253" s="2">
        <v>45271</v>
      </c>
      <c r="L253" s="2" t="str">
        <f t="shared" si="42"/>
        <v>December</v>
      </c>
      <c r="M253" s="1" t="s">
        <v>1519</v>
      </c>
      <c r="N253" s="1" t="s">
        <v>507</v>
      </c>
      <c r="O253" s="1">
        <v>136.30000000000001</v>
      </c>
      <c r="P253" s="1">
        <v>4</v>
      </c>
      <c r="Q253" s="1">
        <f t="shared" si="43"/>
        <v>545.20000000000005</v>
      </c>
      <c r="R253" s="1" t="s">
        <v>89</v>
      </c>
      <c r="S253" s="1">
        <f t="shared" si="44"/>
        <v>54.52000000000001</v>
      </c>
      <c r="T253" s="1">
        <f t="shared" si="45"/>
        <v>490.68000000000006</v>
      </c>
      <c r="U253" s="1">
        <v>1</v>
      </c>
      <c r="V253" s="1">
        <f t="shared" si="46"/>
        <v>525.68000000000006</v>
      </c>
      <c r="W253" s="1">
        <v>35</v>
      </c>
      <c r="X253" s="2">
        <v>45275</v>
      </c>
      <c r="Y253" s="1" t="s">
        <v>1520</v>
      </c>
      <c r="Z253" s="1">
        <f t="shared" si="47"/>
        <v>580.20000000000005</v>
      </c>
      <c r="AA253" s="1">
        <f t="shared" si="48"/>
        <v>4</v>
      </c>
      <c r="AB253" s="1" t="str">
        <f t="shared" si="49"/>
        <v>Late</v>
      </c>
      <c r="AC253" s="1">
        <f t="shared" si="50"/>
        <v>545.20000000000005</v>
      </c>
      <c r="AD253" s="7">
        <f t="shared" si="51"/>
        <v>0.1</v>
      </c>
      <c r="AE253" s="1">
        <f t="shared" si="52"/>
        <v>54.52000000000001</v>
      </c>
      <c r="AF253" s="1">
        <f t="shared" si="53"/>
        <v>89.52000000000001</v>
      </c>
    </row>
    <row r="254" spans="1:32" ht="14.25" customHeight="1" x14ac:dyDescent="0.3">
      <c r="A254" s="1" t="s">
        <v>168</v>
      </c>
      <c r="B254" s="1" t="s">
        <v>169</v>
      </c>
      <c r="C254" s="1" t="s">
        <v>170</v>
      </c>
      <c r="D254" s="1" t="str">
        <f t="shared" si="41"/>
        <v>Gina Moreno</v>
      </c>
      <c r="E254" s="1">
        <v>36</v>
      </c>
      <c r="F254" s="1" t="s">
        <v>45</v>
      </c>
      <c r="G254" s="1" t="s">
        <v>133</v>
      </c>
      <c r="H254" s="1" t="s">
        <v>171</v>
      </c>
      <c r="I254" s="1" t="s">
        <v>172</v>
      </c>
      <c r="J254" s="1" t="s">
        <v>1781</v>
      </c>
      <c r="K254" s="2">
        <v>45368</v>
      </c>
      <c r="L254" s="2" t="str">
        <f t="shared" si="42"/>
        <v>March</v>
      </c>
      <c r="M254" s="1" t="s">
        <v>1782</v>
      </c>
      <c r="N254" s="1" t="s">
        <v>507</v>
      </c>
      <c r="O254" s="1">
        <v>136.30000000000001</v>
      </c>
      <c r="P254" s="1">
        <v>4</v>
      </c>
      <c r="Q254" s="1">
        <f t="shared" si="43"/>
        <v>545.20000000000005</v>
      </c>
      <c r="R254" s="1" t="s">
        <v>29</v>
      </c>
      <c r="S254" s="1">
        <f t="shared" si="44"/>
        <v>43.616000000000007</v>
      </c>
      <c r="T254" s="1">
        <f t="shared" si="45"/>
        <v>501.58400000000006</v>
      </c>
      <c r="U254" s="1">
        <v>6</v>
      </c>
      <c r="V254" s="1">
        <f t="shared" si="46"/>
        <v>553.58400000000006</v>
      </c>
      <c r="W254" s="1">
        <v>52</v>
      </c>
      <c r="X254" s="2">
        <v>45371</v>
      </c>
      <c r="Y254" s="1" t="s">
        <v>1783</v>
      </c>
      <c r="Z254" s="1">
        <f t="shared" si="47"/>
        <v>597.20000000000005</v>
      </c>
      <c r="AA254" s="1">
        <f t="shared" si="48"/>
        <v>3</v>
      </c>
      <c r="AB254" s="1" t="str">
        <f t="shared" si="49"/>
        <v>BeforeTime</v>
      </c>
      <c r="AC254" s="1">
        <f t="shared" si="50"/>
        <v>545.20000000000005</v>
      </c>
      <c r="AD254" s="7">
        <f t="shared" si="51"/>
        <v>0.08</v>
      </c>
      <c r="AE254" s="1">
        <f t="shared" si="52"/>
        <v>43.616000000000007</v>
      </c>
      <c r="AF254" s="1">
        <f t="shared" si="53"/>
        <v>95.616000000000014</v>
      </c>
    </row>
    <row r="255" spans="1:32" ht="14.25" customHeight="1" x14ac:dyDescent="0.3">
      <c r="A255" s="1" t="s">
        <v>539</v>
      </c>
      <c r="B255" s="1" t="s">
        <v>540</v>
      </c>
      <c r="C255" s="1" t="s">
        <v>541</v>
      </c>
      <c r="D255" s="1" t="str">
        <f t="shared" si="41"/>
        <v>Jodi Whitney</v>
      </c>
      <c r="E255" s="1">
        <v>33</v>
      </c>
      <c r="F255" s="1" t="s">
        <v>45</v>
      </c>
      <c r="G255" s="1" t="s">
        <v>161</v>
      </c>
      <c r="H255" s="1" t="s">
        <v>542</v>
      </c>
      <c r="I255" s="1" t="s">
        <v>543</v>
      </c>
      <c r="J255" s="1" t="s">
        <v>1172</v>
      </c>
      <c r="K255" s="2">
        <v>45257</v>
      </c>
      <c r="L255" s="2" t="str">
        <f t="shared" si="42"/>
        <v>November</v>
      </c>
      <c r="M255" s="1" t="s">
        <v>1173</v>
      </c>
      <c r="N255" s="1" t="s">
        <v>166</v>
      </c>
      <c r="O255" s="1">
        <v>272.51</v>
      </c>
      <c r="P255" s="1">
        <v>2</v>
      </c>
      <c r="Q255" s="1">
        <f t="shared" si="43"/>
        <v>545.02</v>
      </c>
      <c r="R255" s="1" t="s">
        <v>89</v>
      </c>
      <c r="S255" s="1">
        <f t="shared" si="44"/>
        <v>54.502000000000002</v>
      </c>
      <c r="T255" s="1">
        <f t="shared" si="45"/>
        <v>490.51799999999997</v>
      </c>
      <c r="U255" s="1">
        <v>4</v>
      </c>
      <c r="V255" s="1">
        <f t="shared" si="46"/>
        <v>538.51800000000003</v>
      </c>
      <c r="W255" s="1">
        <v>48</v>
      </c>
      <c r="X255" s="2">
        <v>45264</v>
      </c>
      <c r="Y255" s="1" t="s">
        <v>1174</v>
      </c>
      <c r="Z255" s="1">
        <f t="shared" si="47"/>
        <v>593.02</v>
      </c>
      <c r="AA255" s="1">
        <f t="shared" si="48"/>
        <v>7</v>
      </c>
      <c r="AB255" s="1" t="str">
        <f t="shared" si="49"/>
        <v>Late</v>
      </c>
      <c r="AC255" s="1">
        <f t="shared" si="50"/>
        <v>545.02</v>
      </c>
      <c r="AD255" s="7">
        <f t="shared" si="51"/>
        <v>0.1</v>
      </c>
      <c r="AE255" s="1">
        <f t="shared" si="52"/>
        <v>54.502000000000002</v>
      </c>
      <c r="AF255" s="1">
        <f t="shared" si="53"/>
        <v>102.50200000000001</v>
      </c>
    </row>
    <row r="256" spans="1:32" ht="14.25" customHeight="1" x14ac:dyDescent="0.3">
      <c r="A256" s="1" t="s">
        <v>1311</v>
      </c>
      <c r="B256" s="1" t="s">
        <v>1312</v>
      </c>
      <c r="C256" s="1" t="s">
        <v>1313</v>
      </c>
      <c r="D256" s="1" t="str">
        <f t="shared" si="41"/>
        <v>Jared Horn</v>
      </c>
      <c r="E256" s="1">
        <v>43</v>
      </c>
      <c r="F256" s="1" t="s">
        <v>22</v>
      </c>
      <c r="G256" s="1" t="s">
        <v>133</v>
      </c>
      <c r="H256" s="1" t="s">
        <v>1314</v>
      </c>
      <c r="I256" s="1" t="s">
        <v>1315</v>
      </c>
      <c r="J256" s="1" t="s">
        <v>1473</v>
      </c>
      <c r="K256" s="2">
        <v>45637</v>
      </c>
      <c r="L256" s="2" t="str">
        <f t="shared" si="42"/>
        <v>December</v>
      </c>
      <c r="M256" s="1" t="s">
        <v>1474</v>
      </c>
      <c r="N256" s="1" t="s">
        <v>166</v>
      </c>
      <c r="O256" s="1">
        <v>272.51</v>
      </c>
      <c r="P256" s="1">
        <v>2</v>
      </c>
      <c r="Q256" s="1">
        <f t="shared" si="43"/>
        <v>545.02</v>
      </c>
      <c r="R256" s="1" t="s">
        <v>78</v>
      </c>
      <c r="S256" s="1">
        <f t="shared" si="44"/>
        <v>109.004</v>
      </c>
      <c r="T256" s="1">
        <f t="shared" si="45"/>
        <v>436.01599999999996</v>
      </c>
      <c r="U256" s="1">
        <v>5</v>
      </c>
      <c r="V256" s="1">
        <f t="shared" si="46"/>
        <v>473.01599999999996</v>
      </c>
      <c r="W256" s="1">
        <v>37</v>
      </c>
      <c r="X256" s="2">
        <v>45640</v>
      </c>
      <c r="Y256" s="1" t="s">
        <v>1475</v>
      </c>
      <c r="Z256" s="1">
        <f t="shared" si="47"/>
        <v>582.02</v>
      </c>
      <c r="AA256" s="1">
        <f t="shared" si="48"/>
        <v>3</v>
      </c>
      <c r="AB256" s="1" t="str">
        <f t="shared" si="49"/>
        <v>BeforeTime</v>
      </c>
      <c r="AC256" s="1">
        <f t="shared" si="50"/>
        <v>545.02</v>
      </c>
      <c r="AD256" s="7">
        <f t="shared" si="51"/>
        <v>0.2</v>
      </c>
      <c r="AE256" s="1">
        <f t="shared" si="52"/>
        <v>109.004</v>
      </c>
      <c r="AF256" s="1">
        <f t="shared" si="53"/>
        <v>146.00400000000002</v>
      </c>
    </row>
    <row r="257" spans="1:32" ht="14.25" customHeight="1" x14ac:dyDescent="0.3">
      <c r="A257" s="1" t="s">
        <v>112</v>
      </c>
      <c r="B257" s="1" t="s">
        <v>113</v>
      </c>
      <c r="C257" s="1" t="s">
        <v>114</v>
      </c>
      <c r="D257" s="1" t="str">
        <f t="shared" si="41"/>
        <v>Bobby Forbes</v>
      </c>
      <c r="E257" s="1">
        <v>20</v>
      </c>
      <c r="F257" s="1" t="s">
        <v>22</v>
      </c>
      <c r="G257" s="1" t="s">
        <v>83</v>
      </c>
      <c r="H257" s="1" t="s">
        <v>115</v>
      </c>
      <c r="I257" s="1" t="s">
        <v>116</v>
      </c>
      <c r="J257" s="1" t="s">
        <v>932</v>
      </c>
      <c r="K257" s="2">
        <v>44981</v>
      </c>
      <c r="L257" s="2" t="str">
        <f t="shared" si="42"/>
        <v>February</v>
      </c>
      <c r="M257" s="1" t="s">
        <v>933</v>
      </c>
      <c r="N257" s="1" t="s">
        <v>934</v>
      </c>
      <c r="O257" s="1">
        <v>107.47</v>
      </c>
      <c r="P257" s="1">
        <v>5</v>
      </c>
      <c r="Q257" s="1">
        <f t="shared" si="43"/>
        <v>537.35</v>
      </c>
      <c r="R257" s="1" t="s">
        <v>78</v>
      </c>
      <c r="S257" s="1">
        <f t="shared" si="44"/>
        <v>107.47000000000001</v>
      </c>
      <c r="T257" s="1">
        <f t="shared" si="45"/>
        <v>429.88</v>
      </c>
      <c r="U257" s="1">
        <v>6</v>
      </c>
      <c r="V257" s="1">
        <f t="shared" si="46"/>
        <v>477.88</v>
      </c>
      <c r="W257" s="1">
        <v>48</v>
      </c>
      <c r="X257" s="2">
        <v>44987</v>
      </c>
      <c r="Y257" s="1" t="s">
        <v>935</v>
      </c>
      <c r="Z257" s="1">
        <f t="shared" si="47"/>
        <v>585.35</v>
      </c>
      <c r="AA257" s="1">
        <f t="shared" si="48"/>
        <v>6</v>
      </c>
      <c r="AB257" s="1" t="str">
        <f t="shared" si="49"/>
        <v>Intime</v>
      </c>
      <c r="AC257" s="1">
        <f t="shared" si="50"/>
        <v>537.35</v>
      </c>
      <c r="AD257" s="7">
        <f t="shared" si="51"/>
        <v>0.2</v>
      </c>
      <c r="AE257" s="1">
        <f t="shared" si="52"/>
        <v>107.47000000000001</v>
      </c>
      <c r="AF257" s="1">
        <f t="shared" si="53"/>
        <v>155.47000000000003</v>
      </c>
    </row>
    <row r="258" spans="1:32" ht="14.25" customHeight="1" x14ac:dyDescent="0.3">
      <c r="A258" s="1" t="s">
        <v>326</v>
      </c>
      <c r="B258" s="1" t="s">
        <v>327</v>
      </c>
      <c r="C258" s="1" t="s">
        <v>328</v>
      </c>
      <c r="D258" s="1" t="str">
        <f t="shared" ref="D258:D321" si="54">_xlfn.CONCAT(B258," ",C258)</f>
        <v>Julie Meyer</v>
      </c>
      <c r="E258" s="1">
        <v>23</v>
      </c>
      <c r="F258" s="1" t="s">
        <v>22</v>
      </c>
      <c r="G258" s="1" t="s">
        <v>23</v>
      </c>
      <c r="H258" s="1" t="s">
        <v>329</v>
      </c>
      <c r="I258" s="1" t="s">
        <v>330</v>
      </c>
      <c r="J258" s="1" t="s">
        <v>1638</v>
      </c>
      <c r="K258" s="2">
        <v>45622</v>
      </c>
      <c r="L258" s="2" t="str">
        <f t="shared" ref="L258:L321" si="55">TEXT(K258,"mmmm")</f>
        <v>November</v>
      </c>
      <c r="M258" s="1" t="s">
        <v>1639</v>
      </c>
      <c r="N258" s="1" t="s">
        <v>934</v>
      </c>
      <c r="O258" s="1">
        <v>107.47</v>
      </c>
      <c r="P258" s="1">
        <v>5</v>
      </c>
      <c r="Q258" s="1">
        <f t="shared" ref="Q258:Q321" si="56">O258*P258</f>
        <v>537.35</v>
      </c>
      <c r="R258" s="1" t="s">
        <v>29</v>
      </c>
      <c r="S258" s="1">
        <f t="shared" ref="S258:S321" si="57">IF(R258="FLAT8",O258*P258*8%,IF(R258="FLAT10",O258*P258*10%,IF(R258="FLAT15",O258*P258*15%,IF(R258="FLAT20",O258*P258*20%,0))))</f>
        <v>42.988</v>
      </c>
      <c r="T258" s="1">
        <f t="shared" ref="T258:T321" si="58">Q258-S258</f>
        <v>494.36200000000002</v>
      </c>
      <c r="U258" s="1">
        <v>4</v>
      </c>
      <c r="V258" s="1">
        <f t="shared" ref="V258:V321" si="59">T258+W258</f>
        <v>531.36200000000008</v>
      </c>
      <c r="W258" s="1">
        <v>37</v>
      </c>
      <c r="X258" s="2">
        <v>45628</v>
      </c>
      <c r="Y258" s="1" t="s">
        <v>1640</v>
      </c>
      <c r="Z258" s="1">
        <f t="shared" ref="Z258:Z321" si="60">(O258*P258)+W258</f>
        <v>574.35</v>
      </c>
      <c r="AA258" s="1">
        <f t="shared" ref="AA258:AA321" si="61">X258-K258</f>
        <v>6</v>
      </c>
      <c r="AB258" s="1" t="str">
        <f t="shared" ref="AB258:AB321" si="62">IF(AA258&gt;U258,"Late",IF(AA258=U258,"Intime","BeforeTime"))</f>
        <v>Late</v>
      </c>
      <c r="AC258" s="1">
        <f t="shared" ref="AC258:AC321" si="63">O258*P258</f>
        <v>537.35</v>
      </c>
      <c r="AD258" s="7">
        <f t="shared" ref="AD258:AD321" si="64">IF(R258="FLAT8",8%,IF(R258="FLAT10",10%,IF(R258="FLAT15",15%,IF(R258="FLAT20",20%,0))))</f>
        <v>0.08</v>
      </c>
      <c r="AE258" s="1">
        <f t="shared" ref="AE258:AE321" si="65">Q258*AD258</f>
        <v>42.988</v>
      </c>
      <c r="AF258" s="1">
        <f t="shared" ref="AF258:AF321" si="66">IF(R258="DEL0",AE258,AE258+W258)</f>
        <v>79.988</v>
      </c>
    </row>
    <row r="259" spans="1:32" ht="14.25" customHeight="1" x14ac:dyDescent="0.3">
      <c r="A259" s="1" t="s">
        <v>724</v>
      </c>
      <c r="B259" s="1" t="s">
        <v>725</v>
      </c>
      <c r="C259" s="1" t="s">
        <v>726</v>
      </c>
      <c r="D259" s="1" t="str">
        <f t="shared" si="54"/>
        <v>Melissa Levy</v>
      </c>
      <c r="E259" s="1">
        <v>30</v>
      </c>
      <c r="F259" s="1" t="s">
        <v>22</v>
      </c>
      <c r="G259" s="1" t="s">
        <v>152</v>
      </c>
      <c r="H259" s="1" t="s">
        <v>727</v>
      </c>
      <c r="I259" s="1" t="s">
        <v>728</v>
      </c>
      <c r="J259" s="1" t="s">
        <v>1641</v>
      </c>
      <c r="K259" s="2">
        <v>45417</v>
      </c>
      <c r="L259" s="2" t="str">
        <f t="shared" si="55"/>
        <v>May</v>
      </c>
      <c r="M259" s="1" t="s">
        <v>1642</v>
      </c>
      <c r="N259" s="1" t="s">
        <v>934</v>
      </c>
      <c r="O259" s="1">
        <v>107.47</v>
      </c>
      <c r="P259" s="1">
        <v>5</v>
      </c>
      <c r="Q259" s="1">
        <f t="shared" si="56"/>
        <v>537.35</v>
      </c>
      <c r="R259" s="1" t="s">
        <v>89</v>
      </c>
      <c r="S259" s="1">
        <f t="shared" si="57"/>
        <v>53.735000000000007</v>
      </c>
      <c r="T259" s="1">
        <f t="shared" si="58"/>
        <v>483.61500000000001</v>
      </c>
      <c r="U259" s="1">
        <v>4</v>
      </c>
      <c r="V259" s="1">
        <f t="shared" si="59"/>
        <v>530.61500000000001</v>
      </c>
      <c r="W259" s="1">
        <v>47</v>
      </c>
      <c r="X259" s="2">
        <v>45424</v>
      </c>
      <c r="Y259" s="1" t="s">
        <v>1643</v>
      </c>
      <c r="Z259" s="1">
        <f t="shared" si="60"/>
        <v>584.35</v>
      </c>
      <c r="AA259" s="1">
        <f t="shared" si="61"/>
        <v>7</v>
      </c>
      <c r="AB259" s="1" t="str">
        <f t="shared" si="62"/>
        <v>Late</v>
      </c>
      <c r="AC259" s="1">
        <f t="shared" si="63"/>
        <v>537.35</v>
      </c>
      <c r="AD259" s="7">
        <f t="shared" si="64"/>
        <v>0.1</v>
      </c>
      <c r="AE259" s="1">
        <f t="shared" si="65"/>
        <v>53.735000000000007</v>
      </c>
      <c r="AF259" s="1">
        <f t="shared" si="66"/>
        <v>100.73500000000001</v>
      </c>
    </row>
    <row r="260" spans="1:32" ht="14.25" customHeight="1" x14ac:dyDescent="0.3">
      <c r="A260" s="1" t="s">
        <v>500</v>
      </c>
      <c r="B260" s="1" t="s">
        <v>501</v>
      </c>
      <c r="C260" s="1" t="s">
        <v>502</v>
      </c>
      <c r="D260" s="1" t="str">
        <f t="shared" si="54"/>
        <v>Sarah Butler</v>
      </c>
      <c r="E260" s="1">
        <v>64</v>
      </c>
      <c r="F260" s="1" t="s">
        <v>22</v>
      </c>
      <c r="G260" s="1" t="s">
        <v>23</v>
      </c>
      <c r="H260" s="1" t="s">
        <v>503</v>
      </c>
      <c r="I260" s="1" t="s">
        <v>504</v>
      </c>
      <c r="J260" s="1" t="s">
        <v>1786</v>
      </c>
      <c r="K260" s="2">
        <v>45147</v>
      </c>
      <c r="L260" s="2" t="str">
        <f t="shared" si="55"/>
        <v>August</v>
      </c>
      <c r="M260" s="1" t="s">
        <v>1787</v>
      </c>
      <c r="N260" s="1" t="s">
        <v>934</v>
      </c>
      <c r="O260" s="1">
        <v>107.47</v>
      </c>
      <c r="P260" s="1">
        <v>5</v>
      </c>
      <c r="Q260" s="1">
        <f t="shared" si="56"/>
        <v>537.35</v>
      </c>
      <c r="R260" s="1" t="s">
        <v>78</v>
      </c>
      <c r="S260" s="1">
        <f t="shared" si="57"/>
        <v>107.47000000000001</v>
      </c>
      <c r="T260" s="1">
        <f t="shared" si="58"/>
        <v>429.88</v>
      </c>
      <c r="U260" s="1">
        <v>6</v>
      </c>
      <c r="V260" s="1">
        <f t="shared" si="59"/>
        <v>476.88</v>
      </c>
      <c r="W260" s="1">
        <v>47</v>
      </c>
      <c r="X260" s="2">
        <v>45149</v>
      </c>
      <c r="Y260" s="1" t="s">
        <v>1788</v>
      </c>
      <c r="Z260" s="1">
        <f t="shared" si="60"/>
        <v>584.35</v>
      </c>
      <c r="AA260" s="1">
        <f t="shared" si="61"/>
        <v>2</v>
      </c>
      <c r="AB260" s="1" t="str">
        <f t="shared" si="62"/>
        <v>BeforeTime</v>
      </c>
      <c r="AC260" s="1">
        <f t="shared" si="63"/>
        <v>537.35</v>
      </c>
      <c r="AD260" s="7">
        <f t="shared" si="64"/>
        <v>0.2</v>
      </c>
      <c r="AE260" s="1">
        <f t="shared" si="65"/>
        <v>107.47000000000001</v>
      </c>
      <c r="AF260" s="1">
        <f t="shared" si="66"/>
        <v>154.47000000000003</v>
      </c>
    </row>
    <row r="261" spans="1:32" ht="14.25" customHeight="1" x14ac:dyDescent="0.3">
      <c r="A261" s="1" t="s">
        <v>185</v>
      </c>
      <c r="B261" s="1" t="s">
        <v>186</v>
      </c>
      <c r="C261" s="1" t="s">
        <v>187</v>
      </c>
      <c r="D261" s="1" t="str">
        <f t="shared" si="54"/>
        <v>Traci Jones</v>
      </c>
      <c r="E261" s="1">
        <v>34</v>
      </c>
      <c r="F261" s="1" t="s">
        <v>22</v>
      </c>
      <c r="G261" s="1" t="s">
        <v>83</v>
      </c>
      <c r="H261" s="1" t="s">
        <v>188</v>
      </c>
      <c r="I261" s="1" t="s">
        <v>189</v>
      </c>
      <c r="J261" s="1" t="s">
        <v>1820</v>
      </c>
      <c r="K261" s="2">
        <v>45504</v>
      </c>
      <c r="L261" s="2" t="str">
        <f t="shared" si="55"/>
        <v>July</v>
      </c>
      <c r="M261" s="1" t="s">
        <v>1821</v>
      </c>
      <c r="N261" s="1" t="s">
        <v>934</v>
      </c>
      <c r="O261" s="1">
        <v>107.47</v>
      </c>
      <c r="P261" s="1">
        <v>5</v>
      </c>
      <c r="Q261" s="1">
        <f t="shared" si="56"/>
        <v>537.35</v>
      </c>
      <c r="R261" s="1" t="s">
        <v>89</v>
      </c>
      <c r="S261" s="1">
        <f t="shared" si="57"/>
        <v>53.735000000000007</v>
      </c>
      <c r="T261" s="1">
        <f t="shared" si="58"/>
        <v>483.61500000000001</v>
      </c>
      <c r="U261" s="1">
        <v>5</v>
      </c>
      <c r="V261" s="1">
        <f t="shared" si="59"/>
        <v>531.61500000000001</v>
      </c>
      <c r="W261" s="1">
        <v>48</v>
      </c>
      <c r="X261" s="2">
        <v>45505</v>
      </c>
      <c r="Y261" s="1" t="s">
        <v>1822</v>
      </c>
      <c r="Z261" s="1">
        <f t="shared" si="60"/>
        <v>585.35</v>
      </c>
      <c r="AA261" s="1">
        <f t="shared" si="61"/>
        <v>1</v>
      </c>
      <c r="AB261" s="1" t="str">
        <f t="shared" si="62"/>
        <v>BeforeTime</v>
      </c>
      <c r="AC261" s="1">
        <f t="shared" si="63"/>
        <v>537.35</v>
      </c>
      <c r="AD261" s="7">
        <f t="shared" si="64"/>
        <v>0.1</v>
      </c>
      <c r="AE261" s="1">
        <f t="shared" si="65"/>
        <v>53.735000000000007</v>
      </c>
      <c r="AF261" s="1">
        <f t="shared" si="66"/>
        <v>101.73500000000001</v>
      </c>
    </row>
    <row r="262" spans="1:32" ht="14.25" customHeight="1" x14ac:dyDescent="0.3">
      <c r="A262" s="1" t="s">
        <v>19</v>
      </c>
      <c r="B262" s="1" t="s">
        <v>20</v>
      </c>
      <c r="C262" s="1" t="s">
        <v>21</v>
      </c>
      <c r="D262" s="1" t="str">
        <f t="shared" si="54"/>
        <v>Anne Oconnell</v>
      </c>
      <c r="E262" s="1">
        <v>37</v>
      </c>
      <c r="F262" s="1" t="s">
        <v>22</v>
      </c>
      <c r="G262" s="1" t="s">
        <v>23</v>
      </c>
      <c r="H262" s="1" t="s">
        <v>24</v>
      </c>
      <c r="I262" s="1" t="s">
        <v>25</v>
      </c>
      <c r="J262" s="1" t="s">
        <v>1146</v>
      </c>
      <c r="K262" s="2">
        <v>45162</v>
      </c>
      <c r="L262" s="2" t="str">
        <f t="shared" si="55"/>
        <v>August</v>
      </c>
      <c r="M262" s="1" t="s">
        <v>1147</v>
      </c>
      <c r="N262" s="1" t="s">
        <v>227</v>
      </c>
      <c r="O262" s="1">
        <v>132.97</v>
      </c>
      <c r="P262" s="1">
        <v>4</v>
      </c>
      <c r="Q262" s="1">
        <f t="shared" si="56"/>
        <v>531.88</v>
      </c>
      <c r="R262" s="1" t="s">
        <v>89</v>
      </c>
      <c r="S262" s="1">
        <f t="shared" si="57"/>
        <v>53.188000000000002</v>
      </c>
      <c r="T262" s="1">
        <f t="shared" si="58"/>
        <v>478.69200000000001</v>
      </c>
      <c r="U262" s="1">
        <v>3</v>
      </c>
      <c r="V262" s="1">
        <f t="shared" si="59"/>
        <v>521.69200000000001</v>
      </c>
      <c r="W262" s="1">
        <v>43</v>
      </c>
      <c r="X262" s="2">
        <v>45163</v>
      </c>
      <c r="Y262" s="1" t="s">
        <v>1148</v>
      </c>
      <c r="Z262" s="1">
        <f t="shared" si="60"/>
        <v>574.88</v>
      </c>
      <c r="AA262" s="1">
        <f t="shared" si="61"/>
        <v>1</v>
      </c>
      <c r="AB262" s="1" t="str">
        <f t="shared" si="62"/>
        <v>BeforeTime</v>
      </c>
      <c r="AC262" s="1">
        <f t="shared" si="63"/>
        <v>531.88</v>
      </c>
      <c r="AD262" s="7">
        <f t="shared" si="64"/>
        <v>0.1</v>
      </c>
      <c r="AE262" s="1">
        <f t="shared" si="65"/>
        <v>53.188000000000002</v>
      </c>
      <c r="AF262" s="1">
        <f t="shared" si="66"/>
        <v>96.188000000000002</v>
      </c>
    </row>
    <row r="263" spans="1:32" ht="14.25" customHeight="1" x14ac:dyDescent="0.3">
      <c r="A263" s="1" t="s">
        <v>468</v>
      </c>
      <c r="B263" s="1" t="s">
        <v>101</v>
      </c>
      <c r="C263" s="1" t="s">
        <v>469</v>
      </c>
      <c r="D263" s="1" t="str">
        <f t="shared" si="54"/>
        <v>Debra Hayes</v>
      </c>
      <c r="E263" s="1">
        <v>33</v>
      </c>
      <c r="F263" s="1" t="s">
        <v>22</v>
      </c>
      <c r="G263" s="1" t="s">
        <v>161</v>
      </c>
      <c r="H263" s="1" t="s">
        <v>470</v>
      </c>
      <c r="I263" s="1" t="s">
        <v>471</v>
      </c>
      <c r="J263" s="1" t="s">
        <v>1969</v>
      </c>
      <c r="K263" s="2">
        <v>45528</v>
      </c>
      <c r="L263" s="2" t="str">
        <f t="shared" si="55"/>
        <v>August</v>
      </c>
      <c r="M263" s="1" t="s">
        <v>1970</v>
      </c>
      <c r="N263" s="1" t="s">
        <v>227</v>
      </c>
      <c r="O263" s="1">
        <v>132.97</v>
      </c>
      <c r="P263" s="1">
        <v>4</v>
      </c>
      <c r="Q263" s="1">
        <f t="shared" si="56"/>
        <v>531.88</v>
      </c>
      <c r="R263" s="1" t="s">
        <v>56</v>
      </c>
      <c r="S263" s="1">
        <f t="shared" si="57"/>
        <v>0</v>
      </c>
      <c r="T263" s="1">
        <f t="shared" si="58"/>
        <v>531.88</v>
      </c>
      <c r="U263" s="1">
        <v>6</v>
      </c>
      <c r="V263" s="1">
        <f t="shared" si="59"/>
        <v>594.88</v>
      </c>
      <c r="W263" s="1">
        <v>63</v>
      </c>
      <c r="X263" s="2">
        <v>45535</v>
      </c>
      <c r="Y263" s="1" t="s">
        <v>1971</v>
      </c>
      <c r="Z263" s="1">
        <f t="shared" si="60"/>
        <v>594.88</v>
      </c>
      <c r="AA263" s="1">
        <f t="shared" si="61"/>
        <v>7</v>
      </c>
      <c r="AB263" s="1" t="str">
        <f t="shared" si="62"/>
        <v>Late</v>
      </c>
      <c r="AC263" s="1">
        <f t="shared" si="63"/>
        <v>531.88</v>
      </c>
      <c r="AD263" s="7">
        <f t="shared" si="64"/>
        <v>0</v>
      </c>
      <c r="AE263" s="1">
        <f t="shared" si="65"/>
        <v>0</v>
      </c>
      <c r="AF263" s="1">
        <f t="shared" si="66"/>
        <v>0</v>
      </c>
    </row>
    <row r="264" spans="1:32" ht="14.25" customHeight="1" x14ac:dyDescent="0.3">
      <c r="A264" s="1" t="s">
        <v>493</v>
      </c>
      <c r="B264" s="1" t="s">
        <v>494</v>
      </c>
      <c r="C264" s="1" t="s">
        <v>380</v>
      </c>
      <c r="D264" s="1" t="str">
        <f t="shared" si="54"/>
        <v>Sharon Thompson</v>
      </c>
      <c r="E264" s="1">
        <v>57</v>
      </c>
      <c r="F264" s="1" t="s">
        <v>34</v>
      </c>
      <c r="G264" s="1" t="s">
        <v>213</v>
      </c>
      <c r="H264" s="1" t="s">
        <v>495</v>
      </c>
      <c r="I264" s="1" t="s">
        <v>496</v>
      </c>
      <c r="J264" s="1" t="s">
        <v>497</v>
      </c>
      <c r="K264" s="2">
        <v>45346</v>
      </c>
      <c r="L264" s="2" t="str">
        <f t="shared" si="55"/>
        <v>February</v>
      </c>
      <c r="M264" s="1" t="s">
        <v>498</v>
      </c>
      <c r="N264" s="1" t="s">
        <v>128</v>
      </c>
      <c r="O264" s="1">
        <v>175.93</v>
      </c>
      <c r="P264" s="1">
        <v>3</v>
      </c>
      <c r="Q264" s="1">
        <f t="shared" si="56"/>
        <v>527.79</v>
      </c>
      <c r="R264" s="1" t="s">
        <v>29</v>
      </c>
      <c r="S264" s="1">
        <f t="shared" si="57"/>
        <v>42.223199999999999</v>
      </c>
      <c r="T264" s="1">
        <f t="shared" si="58"/>
        <v>485.56679999999994</v>
      </c>
      <c r="U264" s="1">
        <v>4</v>
      </c>
      <c r="V264" s="1">
        <f t="shared" si="59"/>
        <v>531.56679999999994</v>
      </c>
      <c r="W264" s="1">
        <v>46</v>
      </c>
      <c r="X264" s="2">
        <v>45351</v>
      </c>
      <c r="Y264" s="1" t="s">
        <v>499</v>
      </c>
      <c r="Z264" s="1">
        <f t="shared" si="60"/>
        <v>573.79</v>
      </c>
      <c r="AA264" s="1">
        <f t="shared" si="61"/>
        <v>5</v>
      </c>
      <c r="AB264" s="1" t="str">
        <f t="shared" si="62"/>
        <v>Late</v>
      </c>
      <c r="AC264" s="1">
        <f t="shared" si="63"/>
        <v>527.79</v>
      </c>
      <c r="AD264" s="7">
        <f t="shared" si="64"/>
        <v>0.08</v>
      </c>
      <c r="AE264" s="1">
        <f t="shared" si="65"/>
        <v>42.223199999999999</v>
      </c>
      <c r="AF264" s="1">
        <f t="shared" si="66"/>
        <v>88.223199999999991</v>
      </c>
    </row>
    <row r="265" spans="1:32" ht="14.25" customHeight="1" x14ac:dyDescent="0.3">
      <c r="A265" s="1" t="s">
        <v>378</v>
      </c>
      <c r="B265" s="1" t="s">
        <v>379</v>
      </c>
      <c r="C265" s="1" t="s">
        <v>380</v>
      </c>
      <c r="D265" s="1" t="str">
        <f t="shared" si="54"/>
        <v>Aaron Thompson</v>
      </c>
      <c r="E265" s="1">
        <v>47</v>
      </c>
      <c r="F265" s="1" t="s">
        <v>34</v>
      </c>
      <c r="G265" s="1" t="s">
        <v>83</v>
      </c>
      <c r="H265" s="1" t="s">
        <v>381</v>
      </c>
      <c r="I265" s="1" t="s">
        <v>382</v>
      </c>
      <c r="J265" s="1" t="s">
        <v>1319</v>
      </c>
      <c r="K265" s="2">
        <v>45012</v>
      </c>
      <c r="L265" s="2" t="str">
        <f t="shared" si="55"/>
        <v>March</v>
      </c>
      <c r="M265" s="1" t="s">
        <v>1320</v>
      </c>
      <c r="N265" s="1" t="s">
        <v>128</v>
      </c>
      <c r="O265" s="1">
        <v>175.93</v>
      </c>
      <c r="P265" s="1">
        <v>3</v>
      </c>
      <c r="Q265" s="1">
        <f t="shared" si="56"/>
        <v>527.79</v>
      </c>
      <c r="R265" s="1" t="s">
        <v>56</v>
      </c>
      <c r="S265" s="1">
        <f t="shared" si="57"/>
        <v>0</v>
      </c>
      <c r="T265" s="1">
        <f t="shared" si="58"/>
        <v>527.79</v>
      </c>
      <c r="U265" s="1">
        <v>3</v>
      </c>
      <c r="V265" s="1">
        <f t="shared" si="59"/>
        <v>585.79</v>
      </c>
      <c r="W265" s="1">
        <v>58</v>
      </c>
      <c r="X265" s="2">
        <v>45017</v>
      </c>
      <c r="Y265" s="1" t="s">
        <v>1321</v>
      </c>
      <c r="Z265" s="1">
        <f t="shared" si="60"/>
        <v>585.79</v>
      </c>
      <c r="AA265" s="1">
        <f t="shared" si="61"/>
        <v>5</v>
      </c>
      <c r="AB265" s="1" t="str">
        <f t="shared" si="62"/>
        <v>Late</v>
      </c>
      <c r="AC265" s="1">
        <f t="shared" si="63"/>
        <v>527.79</v>
      </c>
      <c r="AD265" s="7">
        <f t="shared" si="64"/>
        <v>0</v>
      </c>
      <c r="AE265" s="1">
        <f t="shared" si="65"/>
        <v>0</v>
      </c>
      <c r="AF265" s="1">
        <f t="shared" si="66"/>
        <v>0</v>
      </c>
    </row>
    <row r="266" spans="1:32" ht="14.25" customHeight="1" x14ac:dyDescent="0.3">
      <c r="A266" s="1" t="s">
        <v>202</v>
      </c>
      <c r="B266" s="1" t="s">
        <v>203</v>
      </c>
      <c r="C266" s="1" t="s">
        <v>204</v>
      </c>
      <c r="D266" s="1" t="str">
        <f t="shared" si="54"/>
        <v>Christian Clayton</v>
      </c>
      <c r="E266" s="1">
        <v>39</v>
      </c>
      <c r="F266" s="1" t="s">
        <v>34</v>
      </c>
      <c r="G266" s="1" t="s">
        <v>152</v>
      </c>
      <c r="H266" s="1" t="s">
        <v>205</v>
      </c>
      <c r="I266" s="1" t="s">
        <v>206</v>
      </c>
      <c r="J266" s="1" t="s">
        <v>207</v>
      </c>
      <c r="K266" s="2">
        <v>45352</v>
      </c>
      <c r="L266" s="2" t="str">
        <f t="shared" si="55"/>
        <v>March</v>
      </c>
      <c r="M266" s="1" t="s">
        <v>208</v>
      </c>
      <c r="N266" s="1" t="s">
        <v>175</v>
      </c>
      <c r="O266" s="1">
        <v>104.18</v>
      </c>
      <c r="P266" s="1">
        <v>5</v>
      </c>
      <c r="Q266" s="1">
        <f t="shared" si="56"/>
        <v>520.90000000000009</v>
      </c>
      <c r="R266" s="1" t="s">
        <v>29</v>
      </c>
      <c r="S266" s="1">
        <f t="shared" si="57"/>
        <v>41.672000000000011</v>
      </c>
      <c r="T266" s="1">
        <f t="shared" si="58"/>
        <v>479.22800000000007</v>
      </c>
      <c r="U266" s="1">
        <v>5</v>
      </c>
      <c r="V266" s="1">
        <f t="shared" si="59"/>
        <v>537.22800000000007</v>
      </c>
      <c r="W266" s="1">
        <v>58</v>
      </c>
      <c r="X266" s="2">
        <v>45356</v>
      </c>
      <c r="Y266" s="1" t="s">
        <v>209</v>
      </c>
      <c r="Z266" s="1">
        <f t="shared" si="60"/>
        <v>578.90000000000009</v>
      </c>
      <c r="AA266" s="1">
        <f t="shared" si="61"/>
        <v>4</v>
      </c>
      <c r="AB266" s="1" t="str">
        <f t="shared" si="62"/>
        <v>BeforeTime</v>
      </c>
      <c r="AC266" s="1">
        <f t="shared" si="63"/>
        <v>520.90000000000009</v>
      </c>
      <c r="AD266" s="7">
        <f t="shared" si="64"/>
        <v>0.08</v>
      </c>
      <c r="AE266" s="1">
        <f t="shared" si="65"/>
        <v>41.672000000000011</v>
      </c>
      <c r="AF266" s="1">
        <f t="shared" si="66"/>
        <v>99.672000000000011</v>
      </c>
    </row>
    <row r="267" spans="1:32" ht="14.25" customHeight="1" x14ac:dyDescent="0.3">
      <c r="A267" s="1" t="s">
        <v>158</v>
      </c>
      <c r="B267" s="1" t="s">
        <v>159</v>
      </c>
      <c r="C267" s="1" t="s">
        <v>160</v>
      </c>
      <c r="D267" s="1" t="str">
        <f t="shared" si="54"/>
        <v>Erin Miller</v>
      </c>
      <c r="E267" s="1">
        <v>46</v>
      </c>
      <c r="F267" s="1" t="s">
        <v>22</v>
      </c>
      <c r="G267" s="1" t="s">
        <v>161</v>
      </c>
      <c r="H267" s="1" t="s">
        <v>162</v>
      </c>
      <c r="I267" s="1" t="s">
        <v>163</v>
      </c>
      <c r="J267" s="1" t="s">
        <v>957</v>
      </c>
      <c r="K267" s="2">
        <v>45591</v>
      </c>
      <c r="L267" s="2" t="str">
        <f t="shared" si="55"/>
        <v>October</v>
      </c>
      <c r="M267" s="1" t="s">
        <v>958</v>
      </c>
      <c r="N267" s="1" t="s">
        <v>119</v>
      </c>
      <c r="O267" s="1">
        <v>257.06</v>
      </c>
      <c r="P267" s="1">
        <v>2</v>
      </c>
      <c r="Q267" s="1">
        <f t="shared" si="56"/>
        <v>514.12</v>
      </c>
      <c r="R267" s="1" t="s">
        <v>51</v>
      </c>
      <c r="S267" s="1">
        <f t="shared" si="57"/>
        <v>77.117999999999995</v>
      </c>
      <c r="T267" s="1">
        <f t="shared" si="58"/>
        <v>437.00200000000001</v>
      </c>
      <c r="U267" s="1">
        <v>7</v>
      </c>
      <c r="V267" s="1">
        <f t="shared" si="59"/>
        <v>496.00200000000001</v>
      </c>
      <c r="W267" s="1">
        <v>59</v>
      </c>
      <c r="X267" s="2">
        <v>45592</v>
      </c>
      <c r="Y267" s="1" t="s">
        <v>959</v>
      </c>
      <c r="Z267" s="1">
        <f t="shared" si="60"/>
        <v>573.12</v>
      </c>
      <c r="AA267" s="1">
        <f t="shared" si="61"/>
        <v>1</v>
      </c>
      <c r="AB267" s="1" t="str">
        <f t="shared" si="62"/>
        <v>BeforeTime</v>
      </c>
      <c r="AC267" s="1">
        <f t="shared" si="63"/>
        <v>514.12</v>
      </c>
      <c r="AD267" s="7">
        <f t="shared" si="64"/>
        <v>0.15</v>
      </c>
      <c r="AE267" s="1">
        <f t="shared" si="65"/>
        <v>77.117999999999995</v>
      </c>
      <c r="AF267" s="1">
        <f t="shared" si="66"/>
        <v>136.11799999999999</v>
      </c>
    </row>
    <row r="268" spans="1:32" ht="14.25" customHeight="1" x14ac:dyDescent="0.3">
      <c r="A268" s="1" t="s">
        <v>1450</v>
      </c>
      <c r="B268" s="1" t="s">
        <v>266</v>
      </c>
      <c r="C268" s="1" t="s">
        <v>1451</v>
      </c>
      <c r="D268" s="1" t="str">
        <f t="shared" si="54"/>
        <v>Lauren Lane</v>
      </c>
      <c r="E268" s="1">
        <v>30</v>
      </c>
      <c r="F268" s="1" t="s">
        <v>22</v>
      </c>
      <c r="G268" s="1" t="s">
        <v>213</v>
      </c>
      <c r="H268" s="1" t="s">
        <v>1452</v>
      </c>
      <c r="I268" s="1" t="s">
        <v>1453</v>
      </c>
      <c r="J268" s="1" t="s">
        <v>1766</v>
      </c>
      <c r="K268" s="2">
        <v>45393</v>
      </c>
      <c r="L268" s="2" t="str">
        <f t="shared" si="55"/>
        <v>April</v>
      </c>
      <c r="M268" s="1" t="s">
        <v>1767</v>
      </c>
      <c r="N268" s="1" t="s">
        <v>235</v>
      </c>
      <c r="O268" s="1">
        <v>126.19</v>
      </c>
      <c r="P268" s="1">
        <v>4</v>
      </c>
      <c r="Q268" s="1">
        <f t="shared" si="56"/>
        <v>504.76</v>
      </c>
      <c r="R268" s="1" t="s">
        <v>29</v>
      </c>
      <c r="S268" s="1">
        <f t="shared" si="57"/>
        <v>40.380800000000001</v>
      </c>
      <c r="T268" s="1">
        <f t="shared" si="58"/>
        <v>464.37919999999997</v>
      </c>
      <c r="U268" s="1">
        <v>5</v>
      </c>
      <c r="V268" s="1">
        <f t="shared" si="59"/>
        <v>533.37919999999997</v>
      </c>
      <c r="W268" s="1">
        <v>69</v>
      </c>
      <c r="X268" s="2">
        <v>45396</v>
      </c>
      <c r="Y268" s="1" t="s">
        <v>1768</v>
      </c>
      <c r="Z268" s="1">
        <f t="shared" si="60"/>
        <v>573.76</v>
      </c>
      <c r="AA268" s="1">
        <f t="shared" si="61"/>
        <v>3</v>
      </c>
      <c r="AB268" s="1" t="str">
        <f t="shared" si="62"/>
        <v>BeforeTime</v>
      </c>
      <c r="AC268" s="1">
        <f t="shared" si="63"/>
        <v>504.76</v>
      </c>
      <c r="AD268" s="7">
        <f t="shared" si="64"/>
        <v>0.08</v>
      </c>
      <c r="AE268" s="1">
        <f t="shared" si="65"/>
        <v>40.380800000000001</v>
      </c>
      <c r="AF268" s="1">
        <f t="shared" si="66"/>
        <v>109.38079999999999</v>
      </c>
    </row>
    <row r="269" spans="1:32" ht="14.25" customHeight="1" x14ac:dyDescent="0.3">
      <c r="A269" s="1" t="s">
        <v>309</v>
      </c>
      <c r="B269" s="1" t="s">
        <v>310</v>
      </c>
      <c r="C269" s="1" t="s">
        <v>311</v>
      </c>
      <c r="D269" s="1" t="str">
        <f t="shared" si="54"/>
        <v>Jenny Estrada</v>
      </c>
      <c r="E269" s="1">
        <v>45</v>
      </c>
      <c r="F269" s="1" t="s">
        <v>22</v>
      </c>
      <c r="G269" s="1" t="s">
        <v>35</v>
      </c>
      <c r="H269" s="1" t="s">
        <v>312</v>
      </c>
      <c r="I269" s="1" t="s">
        <v>313</v>
      </c>
      <c r="J269" s="1" t="s">
        <v>1194</v>
      </c>
      <c r="K269" s="2">
        <v>45271</v>
      </c>
      <c r="L269" s="2" t="str">
        <f t="shared" si="55"/>
        <v>December</v>
      </c>
      <c r="M269" s="1" t="s">
        <v>1195</v>
      </c>
      <c r="N269" s="1" t="s">
        <v>40</v>
      </c>
      <c r="O269" s="1">
        <v>166.28</v>
      </c>
      <c r="P269" s="1">
        <v>3</v>
      </c>
      <c r="Q269" s="1">
        <f t="shared" si="56"/>
        <v>498.84000000000003</v>
      </c>
      <c r="R269" s="1" t="s">
        <v>89</v>
      </c>
      <c r="S269" s="1">
        <f t="shared" si="57"/>
        <v>49.884000000000007</v>
      </c>
      <c r="T269" s="1">
        <f t="shared" si="58"/>
        <v>448.95600000000002</v>
      </c>
      <c r="U269" s="1">
        <v>6</v>
      </c>
      <c r="V269" s="1">
        <f t="shared" si="59"/>
        <v>507.95600000000002</v>
      </c>
      <c r="W269" s="1">
        <v>59</v>
      </c>
      <c r="X269" s="2">
        <v>45275</v>
      </c>
      <c r="Y269" s="1" t="s">
        <v>1196</v>
      </c>
      <c r="Z269" s="1">
        <f t="shared" si="60"/>
        <v>557.84</v>
      </c>
      <c r="AA269" s="1">
        <f t="shared" si="61"/>
        <v>4</v>
      </c>
      <c r="AB269" s="1" t="str">
        <f t="shared" si="62"/>
        <v>BeforeTime</v>
      </c>
      <c r="AC269" s="1">
        <f t="shared" si="63"/>
        <v>498.84000000000003</v>
      </c>
      <c r="AD269" s="7">
        <f t="shared" si="64"/>
        <v>0.1</v>
      </c>
      <c r="AE269" s="1">
        <f t="shared" si="65"/>
        <v>49.884000000000007</v>
      </c>
      <c r="AF269" s="1">
        <f t="shared" si="66"/>
        <v>108.88400000000001</v>
      </c>
    </row>
    <row r="270" spans="1:32" ht="14.25" customHeight="1" x14ac:dyDescent="0.3">
      <c r="A270" s="1" t="s">
        <v>286</v>
      </c>
      <c r="B270" s="1" t="s">
        <v>287</v>
      </c>
      <c r="C270" s="1" t="s">
        <v>288</v>
      </c>
      <c r="D270" s="1" t="str">
        <f t="shared" si="54"/>
        <v>Heather Schneider</v>
      </c>
      <c r="E270" s="1">
        <v>48</v>
      </c>
      <c r="F270" s="1" t="s">
        <v>34</v>
      </c>
      <c r="G270" s="1" t="s">
        <v>83</v>
      </c>
      <c r="H270" s="1" t="s">
        <v>289</v>
      </c>
      <c r="I270" s="1" t="s">
        <v>290</v>
      </c>
      <c r="J270" s="1" t="s">
        <v>780</v>
      </c>
      <c r="K270" s="2">
        <v>45499</v>
      </c>
      <c r="L270" s="2" t="str">
        <f t="shared" si="55"/>
        <v>July</v>
      </c>
      <c r="M270" s="1" t="s">
        <v>781</v>
      </c>
      <c r="N270" s="1" t="s">
        <v>316</v>
      </c>
      <c r="O270" s="1">
        <v>481.48</v>
      </c>
      <c r="P270" s="1">
        <v>1</v>
      </c>
      <c r="Q270" s="1">
        <f t="shared" si="56"/>
        <v>481.48</v>
      </c>
      <c r="R270" s="1" t="s">
        <v>29</v>
      </c>
      <c r="S270" s="1">
        <f t="shared" si="57"/>
        <v>38.5184</v>
      </c>
      <c r="T270" s="1">
        <f t="shared" si="58"/>
        <v>442.96160000000003</v>
      </c>
      <c r="U270" s="1">
        <v>1</v>
      </c>
      <c r="V270" s="1">
        <f t="shared" si="59"/>
        <v>511.96160000000003</v>
      </c>
      <c r="W270" s="1">
        <v>69</v>
      </c>
      <c r="X270" s="2">
        <v>45503</v>
      </c>
      <c r="Y270" s="1" t="s">
        <v>782</v>
      </c>
      <c r="Z270" s="1">
        <f t="shared" si="60"/>
        <v>550.48</v>
      </c>
      <c r="AA270" s="1">
        <f t="shared" si="61"/>
        <v>4</v>
      </c>
      <c r="AB270" s="1" t="str">
        <f t="shared" si="62"/>
        <v>Late</v>
      </c>
      <c r="AC270" s="1">
        <f t="shared" si="63"/>
        <v>481.48</v>
      </c>
      <c r="AD270" s="7">
        <f t="shared" si="64"/>
        <v>0.08</v>
      </c>
      <c r="AE270" s="1">
        <f t="shared" si="65"/>
        <v>38.5184</v>
      </c>
      <c r="AF270" s="1">
        <f t="shared" si="66"/>
        <v>107.5184</v>
      </c>
    </row>
    <row r="271" spans="1:32" ht="14.25" customHeight="1" x14ac:dyDescent="0.3">
      <c r="A271" s="1" t="s">
        <v>351</v>
      </c>
      <c r="B271" s="1" t="s">
        <v>352</v>
      </c>
      <c r="C271" s="1" t="s">
        <v>353</v>
      </c>
      <c r="D271" s="1" t="str">
        <f t="shared" si="54"/>
        <v>Robert Castillo</v>
      </c>
      <c r="E271" s="1">
        <v>32</v>
      </c>
      <c r="F271" s="1" t="s">
        <v>34</v>
      </c>
      <c r="G271" s="1" t="s">
        <v>161</v>
      </c>
      <c r="H271" s="1" t="s">
        <v>354</v>
      </c>
      <c r="I271" s="1" t="s">
        <v>355</v>
      </c>
      <c r="J271" s="1" t="s">
        <v>1460</v>
      </c>
      <c r="K271" s="2">
        <v>45143</v>
      </c>
      <c r="L271" s="2" t="str">
        <f t="shared" si="55"/>
        <v>August</v>
      </c>
      <c r="M271" s="1" t="s">
        <v>1461</v>
      </c>
      <c r="N271" s="1" t="s">
        <v>316</v>
      </c>
      <c r="O271" s="1">
        <v>481.48</v>
      </c>
      <c r="P271" s="1">
        <v>1</v>
      </c>
      <c r="Q271" s="1">
        <f t="shared" si="56"/>
        <v>481.48</v>
      </c>
      <c r="R271" s="1" t="s">
        <v>51</v>
      </c>
      <c r="S271" s="1">
        <f t="shared" si="57"/>
        <v>72.221999999999994</v>
      </c>
      <c r="T271" s="1">
        <f t="shared" si="58"/>
        <v>409.25800000000004</v>
      </c>
      <c r="U271" s="1">
        <v>4</v>
      </c>
      <c r="V271" s="1">
        <f t="shared" si="59"/>
        <v>476.25800000000004</v>
      </c>
      <c r="W271" s="1">
        <v>67</v>
      </c>
      <c r="X271" s="2">
        <v>45150</v>
      </c>
      <c r="Y271" s="1" t="s">
        <v>1462</v>
      </c>
      <c r="Z271" s="1">
        <f t="shared" si="60"/>
        <v>548.48</v>
      </c>
      <c r="AA271" s="1">
        <f t="shared" si="61"/>
        <v>7</v>
      </c>
      <c r="AB271" s="1" t="str">
        <f t="shared" si="62"/>
        <v>Late</v>
      </c>
      <c r="AC271" s="1">
        <f t="shared" si="63"/>
        <v>481.48</v>
      </c>
      <c r="AD271" s="7">
        <f t="shared" si="64"/>
        <v>0.15</v>
      </c>
      <c r="AE271" s="1">
        <f t="shared" si="65"/>
        <v>72.221999999999994</v>
      </c>
      <c r="AF271" s="1">
        <f t="shared" si="66"/>
        <v>139.22199999999998</v>
      </c>
    </row>
    <row r="272" spans="1:32" ht="14.25" customHeight="1" x14ac:dyDescent="0.3">
      <c r="A272" s="1" t="s">
        <v>185</v>
      </c>
      <c r="B272" s="1" t="s">
        <v>186</v>
      </c>
      <c r="C272" s="1" t="s">
        <v>187</v>
      </c>
      <c r="D272" s="1" t="str">
        <f t="shared" si="54"/>
        <v>Traci Jones</v>
      </c>
      <c r="E272" s="1">
        <v>34</v>
      </c>
      <c r="F272" s="1" t="s">
        <v>22</v>
      </c>
      <c r="G272" s="1" t="s">
        <v>83</v>
      </c>
      <c r="H272" s="1" t="s">
        <v>188</v>
      </c>
      <c r="I272" s="1" t="s">
        <v>189</v>
      </c>
      <c r="J272" s="1" t="s">
        <v>2001</v>
      </c>
      <c r="K272" s="2">
        <v>45283</v>
      </c>
      <c r="L272" s="2" t="str">
        <f t="shared" si="55"/>
        <v>December</v>
      </c>
      <c r="M272" s="1" t="s">
        <v>2002</v>
      </c>
      <c r="N272" s="1" t="s">
        <v>316</v>
      </c>
      <c r="O272" s="1">
        <v>481.48</v>
      </c>
      <c r="P272" s="1">
        <v>1</v>
      </c>
      <c r="Q272" s="1">
        <f t="shared" si="56"/>
        <v>481.48</v>
      </c>
      <c r="R272" s="1" t="s">
        <v>29</v>
      </c>
      <c r="S272" s="1">
        <f t="shared" si="57"/>
        <v>38.5184</v>
      </c>
      <c r="T272" s="1">
        <f t="shared" si="58"/>
        <v>442.96160000000003</v>
      </c>
      <c r="U272" s="1">
        <v>5</v>
      </c>
      <c r="V272" s="1">
        <f t="shared" si="59"/>
        <v>512.96160000000009</v>
      </c>
      <c r="W272" s="1">
        <v>70</v>
      </c>
      <c r="X272" s="2">
        <v>45287</v>
      </c>
      <c r="Y272" s="1" t="s">
        <v>2003</v>
      </c>
      <c r="Z272" s="1">
        <f t="shared" si="60"/>
        <v>551.48</v>
      </c>
      <c r="AA272" s="1">
        <f t="shared" si="61"/>
        <v>4</v>
      </c>
      <c r="AB272" s="1" t="str">
        <f t="shared" si="62"/>
        <v>BeforeTime</v>
      </c>
      <c r="AC272" s="1">
        <f t="shared" si="63"/>
        <v>481.48</v>
      </c>
      <c r="AD272" s="7">
        <f t="shared" si="64"/>
        <v>0.08</v>
      </c>
      <c r="AE272" s="1">
        <f t="shared" si="65"/>
        <v>38.5184</v>
      </c>
      <c r="AF272" s="1">
        <f t="shared" si="66"/>
        <v>108.5184</v>
      </c>
    </row>
    <row r="273" spans="1:32" ht="14.25" customHeight="1" x14ac:dyDescent="0.3">
      <c r="A273" s="1" t="s">
        <v>1231</v>
      </c>
      <c r="B273" s="1" t="s">
        <v>1232</v>
      </c>
      <c r="C273" s="1" t="s">
        <v>1233</v>
      </c>
      <c r="D273" s="1" t="str">
        <f t="shared" si="54"/>
        <v>Hannah Gutierrez</v>
      </c>
      <c r="E273" s="1">
        <v>55</v>
      </c>
      <c r="F273" s="1" t="s">
        <v>34</v>
      </c>
      <c r="G273" s="1" t="s">
        <v>152</v>
      </c>
      <c r="H273" s="1" t="s">
        <v>1234</v>
      </c>
      <c r="I273" s="1" t="s">
        <v>1235</v>
      </c>
      <c r="J273" s="1" t="s">
        <v>1506</v>
      </c>
      <c r="K273" s="2">
        <v>45388</v>
      </c>
      <c r="L273" s="2" t="str">
        <f t="shared" si="55"/>
        <v>April</v>
      </c>
      <c r="M273" s="1" t="s">
        <v>1507</v>
      </c>
      <c r="N273" s="1" t="s">
        <v>566</v>
      </c>
      <c r="O273" s="1">
        <v>477.52</v>
      </c>
      <c r="P273" s="1">
        <v>1</v>
      </c>
      <c r="Q273" s="1">
        <f t="shared" si="56"/>
        <v>477.52</v>
      </c>
      <c r="R273" s="1" t="s">
        <v>56</v>
      </c>
      <c r="S273" s="1">
        <f t="shared" si="57"/>
        <v>0</v>
      </c>
      <c r="T273" s="1">
        <f t="shared" si="58"/>
        <v>477.52</v>
      </c>
      <c r="U273" s="1">
        <v>7</v>
      </c>
      <c r="V273" s="1">
        <f t="shared" si="59"/>
        <v>525.52</v>
      </c>
      <c r="W273" s="1">
        <v>48</v>
      </c>
      <c r="X273" s="2">
        <v>45393</v>
      </c>
      <c r="Y273" s="1" t="s">
        <v>1508</v>
      </c>
      <c r="Z273" s="1">
        <f t="shared" si="60"/>
        <v>525.52</v>
      </c>
      <c r="AA273" s="1">
        <f t="shared" si="61"/>
        <v>5</v>
      </c>
      <c r="AB273" s="1" t="str">
        <f t="shared" si="62"/>
        <v>BeforeTime</v>
      </c>
      <c r="AC273" s="1">
        <f t="shared" si="63"/>
        <v>477.52</v>
      </c>
      <c r="AD273" s="7">
        <f t="shared" si="64"/>
        <v>0</v>
      </c>
      <c r="AE273" s="1">
        <f t="shared" si="65"/>
        <v>0</v>
      </c>
      <c r="AF273" s="1">
        <f t="shared" si="66"/>
        <v>0</v>
      </c>
    </row>
    <row r="274" spans="1:32" ht="14.25" customHeight="1" x14ac:dyDescent="0.3">
      <c r="A274" s="1" t="s">
        <v>840</v>
      </c>
      <c r="B274" s="1" t="s">
        <v>841</v>
      </c>
      <c r="C274" s="1" t="s">
        <v>380</v>
      </c>
      <c r="D274" s="1" t="str">
        <f t="shared" si="54"/>
        <v>Susan Thompson</v>
      </c>
      <c r="E274" s="1">
        <v>37</v>
      </c>
      <c r="F274" s="1" t="s">
        <v>45</v>
      </c>
      <c r="G274" s="1" t="s">
        <v>213</v>
      </c>
      <c r="H274" s="1" t="s">
        <v>842</v>
      </c>
      <c r="I274" s="1" t="s">
        <v>843</v>
      </c>
      <c r="J274" s="1" t="s">
        <v>1270</v>
      </c>
      <c r="K274" s="2">
        <v>45335</v>
      </c>
      <c r="L274" s="2" t="str">
        <f t="shared" si="55"/>
        <v>February</v>
      </c>
      <c r="M274" s="1" t="s">
        <v>1271</v>
      </c>
      <c r="N274" s="1" t="s">
        <v>284</v>
      </c>
      <c r="O274" s="1">
        <v>158.53</v>
      </c>
      <c r="P274" s="1">
        <v>3</v>
      </c>
      <c r="Q274" s="1">
        <f t="shared" si="56"/>
        <v>475.59000000000003</v>
      </c>
      <c r="R274" s="1" t="s">
        <v>89</v>
      </c>
      <c r="S274" s="1">
        <f t="shared" si="57"/>
        <v>47.559000000000005</v>
      </c>
      <c r="T274" s="1">
        <f t="shared" si="58"/>
        <v>428.03100000000001</v>
      </c>
      <c r="U274" s="1">
        <v>3</v>
      </c>
      <c r="V274" s="1">
        <f t="shared" si="59"/>
        <v>491.03100000000001</v>
      </c>
      <c r="W274" s="1">
        <v>63</v>
      </c>
      <c r="X274" s="2">
        <v>45336</v>
      </c>
      <c r="Y274" s="1" t="s">
        <v>1272</v>
      </c>
      <c r="Z274" s="1">
        <f t="shared" si="60"/>
        <v>538.59</v>
      </c>
      <c r="AA274" s="1">
        <f t="shared" si="61"/>
        <v>1</v>
      </c>
      <c r="AB274" s="1" t="str">
        <f t="shared" si="62"/>
        <v>BeforeTime</v>
      </c>
      <c r="AC274" s="1">
        <f t="shared" si="63"/>
        <v>475.59000000000003</v>
      </c>
      <c r="AD274" s="7">
        <f t="shared" si="64"/>
        <v>0.1</v>
      </c>
      <c r="AE274" s="1">
        <f t="shared" si="65"/>
        <v>47.559000000000005</v>
      </c>
      <c r="AF274" s="1">
        <f t="shared" si="66"/>
        <v>110.559</v>
      </c>
    </row>
    <row r="275" spans="1:32" ht="14.25" customHeight="1" x14ac:dyDescent="0.3">
      <c r="A275" s="1" t="s">
        <v>1184</v>
      </c>
      <c r="B275" s="1" t="s">
        <v>33</v>
      </c>
      <c r="C275" s="1" t="s">
        <v>1185</v>
      </c>
      <c r="D275" s="1" t="str">
        <f t="shared" si="54"/>
        <v>Thomas Owens</v>
      </c>
      <c r="E275" s="1">
        <v>34</v>
      </c>
      <c r="F275" s="1" t="s">
        <v>45</v>
      </c>
      <c r="G275" s="1" t="s">
        <v>213</v>
      </c>
      <c r="H275" s="1" t="s">
        <v>1186</v>
      </c>
      <c r="I275" s="1" t="s">
        <v>1187</v>
      </c>
      <c r="J275" s="1" t="s">
        <v>1420</v>
      </c>
      <c r="K275" s="2">
        <v>45324</v>
      </c>
      <c r="L275" s="2" t="str">
        <f t="shared" si="55"/>
        <v>February</v>
      </c>
      <c r="M275" s="1" t="s">
        <v>1421</v>
      </c>
      <c r="N275" s="1" t="s">
        <v>284</v>
      </c>
      <c r="O275" s="1">
        <v>158.53</v>
      </c>
      <c r="P275" s="1">
        <v>3</v>
      </c>
      <c r="Q275" s="1">
        <f t="shared" si="56"/>
        <v>475.59000000000003</v>
      </c>
      <c r="R275" s="1" t="s">
        <v>78</v>
      </c>
      <c r="S275" s="1">
        <f t="shared" si="57"/>
        <v>95.118000000000009</v>
      </c>
      <c r="T275" s="1">
        <f t="shared" si="58"/>
        <v>380.47200000000004</v>
      </c>
      <c r="U275" s="1">
        <v>6</v>
      </c>
      <c r="V275" s="1">
        <f t="shared" si="59"/>
        <v>418.47200000000004</v>
      </c>
      <c r="W275" s="1">
        <v>38</v>
      </c>
      <c r="X275" s="2">
        <v>45331</v>
      </c>
      <c r="Y275" s="1" t="s">
        <v>1422</v>
      </c>
      <c r="Z275" s="1">
        <f t="shared" si="60"/>
        <v>513.59</v>
      </c>
      <c r="AA275" s="1">
        <f t="shared" si="61"/>
        <v>7</v>
      </c>
      <c r="AB275" s="1" t="str">
        <f t="shared" si="62"/>
        <v>Late</v>
      </c>
      <c r="AC275" s="1">
        <f t="shared" si="63"/>
        <v>475.59000000000003</v>
      </c>
      <c r="AD275" s="7">
        <f t="shared" si="64"/>
        <v>0.2</v>
      </c>
      <c r="AE275" s="1">
        <f t="shared" si="65"/>
        <v>95.118000000000009</v>
      </c>
      <c r="AF275" s="1">
        <f t="shared" si="66"/>
        <v>133.11799999999999</v>
      </c>
    </row>
    <row r="276" spans="1:32" ht="14.25" customHeight="1" x14ac:dyDescent="0.3">
      <c r="A276" s="1" t="s">
        <v>309</v>
      </c>
      <c r="B276" s="1" t="s">
        <v>310</v>
      </c>
      <c r="C276" s="1" t="s">
        <v>311</v>
      </c>
      <c r="D276" s="1" t="str">
        <f t="shared" si="54"/>
        <v>Jenny Estrada</v>
      </c>
      <c r="E276" s="1">
        <v>45</v>
      </c>
      <c r="F276" s="1" t="s">
        <v>22</v>
      </c>
      <c r="G276" s="1" t="s">
        <v>35</v>
      </c>
      <c r="H276" s="1" t="s">
        <v>312</v>
      </c>
      <c r="I276" s="1" t="s">
        <v>313</v>
      </c>
      <c r="J276" s="1" t="s">
        <v>1060</v>
      </c>
      <c r="K276" s="2">
        <v>45079</v>
      </c>
      <c r="L276" s="2" t="str">
        <f t="shared" si="55"/>
        <v>June</v>
      </c>
      <c r="M276" s="1" t="s">
        <v>1061</v>
      </c>
      <c r="N276" s="1" t="s">
        <v>280</v>
      </c>
      <c r="O276" s="1">
        <v>157.63999999999999</v>
      </c>
      <c r="P276" s="1">
        <v>3</v>
      </c>
      <c r="Q276" s="1">
        <f t="shared" si="56"/>
        <v>472.91999999999996</v>
      </c>
      <c r="R276" s="1" t="s">
        <v>78</v>
      </c>
      <c r="S276" s="1">
        <f t="shared" si="57"/>
        <v>94.584000000000003</v>
      </c>
      <c r="T276" s="1">
        <f t="shared" si="58"/>
        <v>378.33599999999996</v>
      </c>
      <c r="U276" s="1">
        <v>2</v>
      </c>
      <c r="V276" s="1">
        <f t="shared" si="59"/>
        <v>425.33599999999996</v>
      </c>
      <c r="W276" s="1">
        <v>47</v>
      </c>
      <c r="X276" s="2">
        <v>45085</v>
      </c>
      <c r="Y276" s="1" t="s">
        <v>1062</v>
      </c>
      <c r="Z276" s="1">
        <f t="shared" si="60"/>
        <v>519.91999999999996</v>
      </c>
      <c r="AA276" s="1">
        <f t="shared" si="61"/>
        <v>6</v>
      </c>
      <c r="AB276" s="1" t="str">
        <f t="shared" si="62"/>
        <v>Late</v>
      </c>
      <c r="AC276" s="1">
        <f t="shared" si="63"/>
        <v>472.91999999999996</v>
      </c>
      <c r="AD276" s="7">
        <f t="shared" si="64"/>
        <v>0.2</v>
      </c>
      <c r="AE276" s="1">
        <f t="shared" si="65"/>
        <v>94.584000000000003</v>
      </c>
      <c r="AF276" s="1">
        <f t="shared" si="66"/>
        <v>141.584</v>
      </c>
    </row>
    <row r="277" spans="1:32" ht="14.25" customHeight="1" x14ac:dyDescent="0.3">
      <c r="A277" s="1" t="s">
        <v>639</v>
      </c>
      <c r="B277" s="1" t="s">
        <v>640</v>
      </c>
      <c r="C277" s="1" t="s">
        <v>641</v>
      </c>
      <c r="D277" s="1" t="str">
        <f t="shared" si="54"/>
        <v>Beth Mason</v>
      </c>
      <c r="E277" s="1">
        <v>45</v>
      </c>
      <c r="F277" s="1" t="s">
        <v>45</v>
      </c>
      <c r="G277" s="1" t="s">
        <v>83</v>
      </c>
      <c r="H277" s="1" t="s">
        <v>642</v>
      </c>
      <c r="I277" s="1" t="s">
        <v>643</v>
      </c>
      <c r="J277" s="1" t="s">
        <v>1677</v>
      </c>
      <c r="K277" s="2">
        <v>45404</v>
      </c>
      <c r="L277" s="2" t="str">
        <f t="shared" si="55"/>
        <v>April</v>
      </c>
      <c r="M277" s="1" t="s">
        <v>1678</v>
      </c>
      <c r="N277" s="1" t="s">
        <v>280</v>
      </c>
      <c r="O277" s="1">
        <v>157.63999999999999</v>
      </c>
      <c r="P277" s="1">
        <v>3</v>
      </c>
      <c r="Q277" s="1">
        <f t="shared" si="56"/>
        <v>472.91999999999996</v>
      </c>
      <c r="R277" s="1" t="s">
        <v>29</v>
      </c>
      <c r="S277" s="1">
        <f t="shared" si="57"/>
        <v>37.833599999999997</v>
      </c>
      <c r="T277" s="1">
        <f t="shared" si="58"/>
        <v>435.08639999999997</v>
      </c>
      <c r="U277" s="1">
        <v>4</v>
      </c>
      <c r="V277" s="1">
        <f t="shared" si="59"/>
        <v>501.08639999999997</v>
      </c>
      <c r="W277" s="1">
        <v>66</v>
      </c>
      <c r="X277" s="2">
        <v>45405</v>
      </c>
      <c r="Y277" s="1" t="s">
        <v>1392</v>
      </c>
      <c r="Z277" s="1">
        <f t="shared" si="60"/>
        <v>538.91999999999996</v>
      </c>
      <c r="AA277" s="1">
        <f t="shared" si="61"/>
        <v>1</v>
      </c>
      <c r="AB277" s="1" t="str">
        <f t="shared" si="62"/>
        <v>BeforeTime</v>
      </c>
      <c r="AC277" s="1">
        <f t="shared" si="63"/>
        <v>472.91999999999996</v>
      </c>
      <c r="AD277" s="7">
        <f t="shared" si="64"/>
        <v>0.08</v>
      </c>
      <c r="AE277" s="1">
        <f t="shared" si="65"/>
        <v>37.833599999999997</v>
      </c>
      <c r="AF277" s="1">
        <f t="shared" si="66"/>
        <v>103.83359999999999</v>
      </c>
    </row>
    <row r="278" spans="1:32" ht="14.25" customHeight="1" x14ac:dyDescent="0.3">
      <c r="A278" s="1" t="s">
        <v>294</v>
      </c>
      <c r="B278" s="1" t="s">
        <v>295</v>
      </c>
      <c r="C278" s="1" t="s">
        <v>296</v>
      </c>
      <c r="D278" s="1" t="str">
        <f t="shared" si="54"/>
        <v>Valerie Carr</v>
      </c>
      <c r="E278" s="1">
        <v>26</v>
      </c>
      <c r="F278" s="1" t="s">
        <v>45</v>
      </c>
      <c r="G278" s="1" t="s">
        <v>161</v>
      </c>
      <c r="H278" s="1" t="s">
        <v>297</v>
      </c>
      <c r="I278" s="1" t="s">
        <v>298</v>
      </c>
      <c r="J278" s="1" t="s">
        <v>1276</v>
      </c>
      <c r="K278" s="2">
        <v>45454</v>
      </c>
      <c r="L278" s="2" t="str">
        <f t="shared" si="55"/>
        <v>June</v>
      </c>
      <c r="M278" s="1" t="s">
        <v>1277</v>
      </c>
      <c r="N278" s="1" t="s">
        <v>650</v>
      </c>
      <c r="O278" s="1">
        <v>235.63</v>
      </c>
      <c r="P278" s="1">
        <v>2</v>
      </c>
      <c r="Q278" s="1">
        <f t="shared" si="56"/>
        <v>471.26</v>
      </c>
      <c r="R278" s="1" t="s">
        <v>51</v>
      </c>
      <c r="S278" s="1">
        <f t="shared" si="57"/>
        <v>70.688999999999993</v>
      </c>
      <c r="T278" s="1">
        <f t="shared" si="58"/>
        <v>400.57100000000003</v>
      </c>
      <c r="U278" s="1">
        <v>4</v>
      </c>
      <c r="V278" s="1">
        <f t="shared" si="59"/>
        <v>444.57100000000003</v>
      </c>
      <c r="W278" s="1">
        <v>44</v>
      </c>
      <c r="X278" s="2">
        <v>45458</v>
      </c>
      <c r="Y278" s="1" t="s">
        <v>1278</v>
      </c>
      <c r="Z278" s="1">
        <f t="shared" si="60"/>
        <v>515.26</v>
      </c>
      <c r="AA278" s="1">
        <f t="shared" si="61"/>
        <v>4</v>
      </c>
      <c r="AB278" s="1" t="str">
        <f t="shared" si="62"/>
        <v>Intime</v>
      </c>
      <c r="AC278" s="1">
        <f t="shared" si="63"/>
        <v>471.26</v>
      </c>
      <c r="AD278" s="7">
        <f t="shared" si="64"/>
        <v>0.15</v>
      </c>
      <c r="AE278" s="1">
        <f t="shared" si="65"/>
        <v>70.688999999999993</v>
      </c>
      <c r="AF278" s="1">
        <f t="shared" si="66"/>
        <v>114.68899999999999</v>
      </c>
    </row>
    <row r="279" spans="1:32" ht="14.25" customHeight="1" x14ac:dyDescent="0.3">
      <c r="A279" s="1" t="s">
        <v>210</v>
      </c>
      <c r="B279" s="1" t="s">
        <v>211</v>
      </c>
      <c r="C279" s="1" t="s">
        <v>212</v>
      </c>
      <c r="D279" s="1" t="str">
        <f t="shared" si="54"/>
        <v>Mark Henderson</v>
      </c>
      <c r="E279" s="1">
        <v>33</v>
      </c>
      <c r="F279" s="1" t="s">
        <v>45</v>
      </c>
      <c r="G279" s="1" t="s">
        <v>213</v>
      </c>
      <c r="H279" s="1" t="s">
        <v>214</v>
      </c>
      <c r="I279" s="1" t="s">
        <v>215</v>
      </c>
      <c r="J279" s="1" t="s">
        <v>216</v>
      </c>
      <c r="K279" s="2">
        <v>45125</v>
      </c>
      <c r="L279" s="2" t="str">
        <f t="shared" si="55"/>
        <v>July</v>
      </c>
      <c r="M279" s="1" t="s">
        <v>217</v>
      </c>
      <c r="N279" s="1" t="s">
        <v>218</v>
      </c>
      <c r="O279" s="1">
        <v>461.07</v>
      </c>
      <c r="P279" s="1">
        <v>1</v>
      </c>
      <c r="Q279" s="1">
        <f t="shared" si="56"/>
        <v>461.07</v>
      </c>
      <c r="R279" s="1" t="s">
        <v>29</v>
      </c>
      <c r="S279" s="1">
        <f t="shared" si="57"/>
        <v>36.885600000000004</v>
      </c>
      <c r="T279" s="1">
        <f t="shared" si="58"/>
        <v>424.18439999999998</v>
      </c>
      <c r="U279" s="1">
        <v>1</v>
      </c>
      <c r="V279" s="1">
        <f t="shared" si="59"/>
        <v>480.18439999999998</v>
      </c>
      <c r="W279" s="1">
        <v>56</v>
      </c>
      <c r="X279" s="2">
        <v>45126</v>
      </c>
      <c r="Y279" s="1" t="s">
        <v>219</v>
      </c>
      <c r="Z279" s="1">
        <f t="shared" si="60"/>
        <v>517.06999999999994</v>
      </c>
      <c r="AA279" s="1">
        <f t="shared" si="61"/>
        <v>1</v>
      </c>
      <c r="AB279" s="1" t="str">
        <f t="shared" si="62"/>
        <v>Intime</v>
      </c>
      <c r="AC279" s="1">
        <f t="shared" si="63"/>
        <v>461.07</v>
      </c>
      <c r="AD279" s="7">
        <f t="shared" si="64"/>
        <v>0.08</v>
      </c>
      <c r="AE279" s="1">
        <f t="shared" si="65"/>
        <v>36.885600000000004</v>
      </c>
      <c r="AF279" s="1">
        <f t="shared" si="66"/>
        <v>92.885600000000011</v>
      </c>
    </row>
    <row r="280" spans="1:32" ht="14.25" customHeight="1" x14ac:dyDescent="0.3">
      <c r="A280" s="1" t="s">
        <v>229</v>
      </c>
      <c r="B280" s="1" t="s">
        <v>59</v>
      </c>
      <c r="C280" s="1" t="s">
        <v>230</v>
      </c>
      <c r="D280" s="1" t="str">
        <f t="shared" si="54"/>
        <v>Angela Evans</v>
      </c>
      <c r="E280" s="1">
        <v>52</v>
      </c>
      <c r="F280" s="1" t="s">
        <v>45</v>
      </c>
      <c r="G280" s="1" t="s">
        <v>35</v>
      </c>
      <c r="H280" s="1" t="s">
        <v>231</v>
      </c>
      <c r="I280" s="1" t="s">
        <v>232</v>
      </c>
      <c r="J280" s="1" t="s">
        <v>706</v>
      </c>
      <c r="K280" s="2">
        <v>45427</v>
      </c>
      <c r="L280" s="2" t="str">
        <f t="shared" si="55"/>
        <v>May</v>
      </c>
      <c r="M280" s="1" t="s">
        <v>707</v>
      </c>
      <c r="N280" s="1" t="s">
        <v>218</v>
      </c>
      <c r="O280" s="1">
        <v>461.07</v>
      </c>
      <c r="P280" s="1">
        <v>1</v>
      </c>
      <c r="Q280" s="1">
        <f t="shared" si="56"/>
        <v>461.07</v>
      </c>
      <c r="R280" s="1" t="s">
        <v>78</v>
      </c>
      <c r="S280" s="1">
        <f t="shared" si="57"/>
        <v>92.213999999999999</v>
      </c>
      <c r="T280" s="1">
        <f t="shared" si="58"/>
        <v>368.85599999999999</v>
      </c>
      <c r="U280" s="1">
        <v>7</v>
      </c>
      <c r="V280" s="1">
        <f t="shared" si="59"/>
        <v>425.85599999999999</v>
      </c>
      <c r="W280" s="1">
        <v>57</v>
      </c>
      <c r="X280" s="2">
        <v>45434</v>
      </c>
      <c r="Y280" s="1" t="s">
        <v>708</v>
      </c>
      <c r="Z280" s="1">
        <f t="shared" si="60"/>
        <v>518.06999999999994</v>
      </c>
      <c r="AA280" s="1">
        <f t="shared" si="61"/>
        <v>7</v>
      </c>
      <c r="AB280" s="1" t="str">
        <f t="shared" si="62"/>
        <v>Intime</v>
      </c>
      <c r="AC280" s="1">
        <f t="shared" si="63"/>
        <v>461.07</v>
      </c>
      <c r="AD280" s="7">
        <f t="shared" si="64"/>
        <v>0.2</v>
      </c>
      <c r="AE280" s="1">
        <f t="shared" si="65"/>
        <v>92.213999999999999</v>
      </c>
      <c r="AF280" s="1">
        <f t="shared" si="66"/>
        <v>149.214</v>
      </c>
    </row>
    <row r="281" spans="1:32" ht="14.25" customHeight="1" x14ac:dyDescent="0.3">
      <c r="A281" s="1" t="s">
        <v>743</v>
      </c>
      <c r="B281" s="1" t="s">
        <v>744</v>
      </c>
      <c r="C281" s="1" t="s">
        <v>745</v>
      </c>
      <c r="D281" s="1" t="str">
        <f t="shared" si="54"/>
        <v>Barbara Fuller</v>
      </c>
      <c r="E281" s="1">
        <v>43</v>
      </c>
      <c r="F281" s="1" t="s">
        <v>45</v>
      </c>
      <c r="G281" s="1" t="s">
        <v>152</v>
      </c>
      <c r="H281" s="1" t="s">
        <v>746</v>
      </c>
      <c r="I281" s="1" t="s">
        <v>747</v>
      </c>
      <c r="J281" s="1" t="s">
        <v>1829</v>
      </c>
      <c r="K281" s="2">
        <v>45432</v>
      </c>
      <c r="L281" s="2" t="str">
        <f t="shared" si="55"/>
        <v>May</v>
      </c>
      <c r="M281" s="1" t="s">
        <v>1830</v>
      </c>
      <c r="N281" s="1" t="s">
        <v>218</v>
      </c>
      <c r="O281" s="1">
        <v>461.07</v>
      </c>
      <c r="P281" s="1">
        <v>1</v>
      </c>
      <c r="Q281" s="1">
        <f t="shared" si="56"/>
        <v>461.07</v>
      </c>
      <c r="R281" s="1" t="s">
        <v>29</v>
      </c>
      <c r="S281" s="1">
        <f t="shared" si="57"/>
        <v>36.885600000000004</v>
      </c>
      <c r="T281" s="1">
        <f t="shared" si="58"/>
        <v>424.18439999999998</v>
      </c>
      <c r="U281" s="1">
        <v>1</v>
      </c>
      <c r="V281" s="1">
        <f t="shared" si="59"/>
        <v>466.18439999999998</v>
      </c>
      <c r="W281" s="1">
        <v>42</v>
      </c>
      <c r="X281" s="2">
        <v>45433</v>
      </c>
      <c r="Y281" s="1" t="s">
        <v>1831</v>
      </c>
      <c r="Z281" s="1">
        <f t="shared" si="60"/>
        <v>503.07</v>
      </c>
      <c r="AA281" s="1">
        <f t="shared" si="61"/>
        <v>1</v>
      </c>
      <c r="AB281" s="1" t="str">
        <f t="shared" si="62"/>
        <v>Intime</v>
      </c>
      <c r="AC281" s="1">
        <f t="shared" si="63"/>
        <v>461.07</v>
      </c>
      <c r="AD281" s="7">
        <f t="shared" si="64"/>
        <v>0.08</v>
      </c>
      <c r="AE281" s="1">
        <f t="shared" si="65"/>
        <v>36.885600000000004</v>
      </c>
      <c r="AF281" s="1">
        <f t="shared" si="66"/>
        <v>78.885600000000011</v>
      </c>
    </row>
    <row r="282" spans="1:32" ht="14.25" customHeight="1" x14ac:dyDescent="0.3">
      <c r="A282" s="1" t="s">
        <v>585</v>
      </c>
      <c r="B282" s="1" t="s">
        <v>586</v>
      </c>
      <c r="C282" s="1" t="s">
        <v>587</v>
      </c>
      <c r="D282" s="1" t="str">
        <f t="shared" si="54"/>
        <v>William Mann</v>
      </c>
      <c r="E282" s="1">
        <v>21</v>
      </c>
      <c r="F282" s="1" t="s">
        <v>22</v>
      </c>
      <c r="G282" s="1" t="s">
        <v>35</v>
      </c>
      <c r="H282" s="1" t="s">
        <v>588</v>
      </c>
      <c r="I282" s="1" t="s">
        <v>589</v>
      </c>
      <c r="J282" s="1" t="s">
        <v>1435</v>
      </c>
      <c r="K282" s="2">
        <v>45064</v>
      </c>
      <c r="L282" s="2" t="str">
        <f t="shared" si="55"/>
        <v>May</v>
      </c>
      <c r="M282" s="1" t="s">
        <v>1436</v>
      </c>
      <c r="N282" s="1" t="s">
        <v>630</v>
      </c>
      <c r="O282" s="1">
        <v>445.81</v>
      </c>
      <c r="P282" s="1">
        <v>1</v>
      </c>
      <c r="Q282" s="1">
        <f t="shared" si="56"/>
        <v>445.81</v>
      </c>
      <c r="R282" s="1" t="s">
        <v>78</v>
      </c>
      <c r="S282" s="1">
        <f t="shared" si="57"/>
        <v>89.162000000000006</v>
      </c>
      <c r="T282" s="1">
        <f t="shared" si="58"/>
        <v>356.64800000000002</v>
      </c>
      <c r="U282" s="1">
        <v>7</v>
      </c>
      <c r="V282" s="1">
        <f t="shared" si="59"/>
        <v>397.64800000000002</v>
      </c>
      <c r="W282" s="1">
        <v>41</v>
      </c>
      <c r="X282" s="2">
        <v>45071</v>
      </c>
      <c r="Y282" s="1" t="s">
        <v>1437</v>
      </c>
      <c r="Z282" s="1">
        <f t="shared" si="60"/>
        <v>486.81</v>
      </c>
      <c r="AA282" s="1">
        <f t="shared" si="61"/>
        <v>7</v>
      </c>
      <c r="AB282" s="1" t="str">
        <f t="shared" si="62"/>
        <v>Intime</v>
      </c>
      <c r="AC282" s="1">
        <f t="shared" si="63"/>
        <v>445.81</v>
      </c>
      <c r="AD282" s="7">
        <f t="shared" si="64"/>
        <v>0.2</v>
      </c>
      <c r="AE282" s="1">
        <f t="shared" si="65"/>
        <v>89.162000000000006</v>
      </c>
      <c r="AF282" s="1">
        <f t="shared" si="66"/>
        <v>130.16200000000001</v>
      </c>
    </row>
    <row r="283" spans="1:32" ht="14.25" customHeight="1" x14ac:dyDescent="0.3">
      <c r="A283" s="1" t="s">
        <v>1239</v>
      </c>
      <c r="B283" s="1" t="s">
        <v>59</v>
      </c>
      <c r="C283" s="1" t="s">
        <v>1240</v>
      </c>
      <c r="D283" s="1" t="str">
        <f t="shared" si="54"/>
        <v>Angela Casey</v>
      </c>
      <c r="E283" s="1">
        <v>40</v>
      </c>
      <c r="F283" s="1" t="s">
        <v>22</v>
      </c>
      <c r="G283" s="1" t="s">
        <v>69</v>
      </c>
      <c r="H283" s="1" t="s">
        <v>1241</v>
      </c>
      <c r="I283" s="1" t="s">
        <v>1242</v>
      </c>
      <c r="J283" s="1" t="s">
        <v>1497</v>
      </c>
      <c r="K283" s="2">
        <v>45195</v>
      </c>
      <c r="L283" s="2" t="str">
        <f t="shared" si="55"/>
        <v>September</v>
      </c>
      <c r="M283" s="1" t="s">
        <v>1498</v>
      </c>
      <c r="N283" s="1" t="s">
        <v>630</v>
      </c>
      <c r="O283" s="1">
        <v>445.81</v>
      </c>
      <c r="P283" s="1">
        <v>1</v>
      </c>
      <c r="Q283" s="1">
        <f t="shared" si="56"/>
        <v>445.81</v>
      </c>
      <c r="R283" s="1" t="s">
        <v>56</v>
      </c>
      <c r="S283" s="1">
        <f t="shared" si="57"/>
        <v>0</v>
      </c>
      <c r="T283" s="1">
        <f t="shared" si="58"/>
        <v>445.81</v>
      </c>
      <c r="U283" s="1">
        <v>1</v>
      </c>
      <c r="V283" s="1">
        <f t="shared" si="59"/>
        <v>496.81</v>
      </c>
      <c r="W283" s="1">
        <v>51</v>
      </c>
      <c r="X283" s="2">
        <v>45198</v>
      </c>
      <c r="Y283" s="1" t="s">
        <v>1499</v>
      </c>
      <c r="Z283" s="1">
        <f t="shared" si="60"/>
        <v>496.81</v>
      </c>
      <c r="AA283" s="1">
        <f t="shared" si="61"/>
        <v>3</v>
      </c>
      <c r="AB283" s="1" t="str">
        <f t="shared" si="62"/>
        <v>Late</v>
      </c>
      <c r="AC283" s="1">
        <f t="shared" si="63"/>
        <v>445.81</v>
      </c>
      <c r="AD283" s="7">
        <f t="shared" si="64"/>
        <v>0</v>
      </c>
      <c r="AE283" s="1">
        <f t="shared" si="65"/>
        <v>0</v>
      </c>
      <c r="AF283" s="1">
        <f t="shared" si="66"/>
        <v>0</v>
      </c>
    </row>
    <row r="284" spans="1:32" ht="14.25" customHeight="1" x14ac:dyDescent="0.3">
      <c r="A284" s="1" t="s">
        <v>769</v>
      </c>
      <c r="B284" s="1" t="s">
        <v>770</v>
      </c>
      <c r="C284" s="1" t="s">
        <v>771</v>
      </c>
      <c r="D284" s="1" t="str">
        <f t="shared" si="54"/>
        <v>Lindsey Byrd</v>
      </c>
      <c r="E284" s="1">
        <v>32</v>
      </c>
      <c r="F284" s="1" t="s">
        <v>22</v>
      </c>
      <c r="G284" s="1" t="s">
        <v>152</v>
      </c>
      <c r="H284" s="1" t="s">
        <v>772</v>
      </c>
      <c r="I284" s="1" t="s">
        <v>773</v>
      </c>
      <c r="J284" s="1" t="s">
        <v>856</v>
      </c>
      <c r="K284" s="2">
        <v>45537</v>
      </c>
      <c r="L284" s="2" t="str">
        <f t="shared" si="55"/>
        <v>September</v>
      </c>
      <c r="M284" s="1" t="s">
        <v>857</v>
      </c>
      <c r="N284" s="1" t="s">
        <v>731</v>
      </c>
      <c r="O284" s="1">
        <v>110.95</v>
      </c>
      <c r="P284" s="1">
        <v>4</v>
      </c>
      <c r="Q284" s="1">
        <f t="shared" si="56"/>
        <v>443.8</v>
      </c>
      <c r="R284" s="1" t="s">
        <v>51</v>
      </c>
      <c r="S284" s="1">
        <f t="shared" si="57"/>
        <v>66.569999999999993</v>
      </c>
      <c r="T284" s="1">
        <f t="shared" si="58"/>
        <v>377.23</v>
      </c>
      <c r="U284" s="1">
        <v>1</v>
      </c>
      <c r="V284" s="1">
        <f t="shared" si="59"/>
        <v>437.23</v>
      </c>
      <c r="W284" s="1">
        <v>60</v>
      </c>
      <c r="X284" s="2">
        <v>45541</v>
      </c>
      <c r="Y284" s="1" t="s">
        <v>858</v>
      </c>
      <c r="Z284" s="1">
        <f t="shared" si="60"/>
        <v>503.8</v>
      </c>
      <c r="AA284" s="1">
        <f t="shared" si="61"/>
        <v>4</v>
      </c>
      <c r="AB284" s="1" t="str">
        <f t="shared" si="62"/>
        <v>Late</v>
      </c>
      <c r="AC284" s="1">
        <f t="shared" si="63"/>
        <v>443.8</v>
      </c>
      <c r="AD284" s="7">
        <f t="shared" si="64"/>
        <v>0.15</v>
      </c>
      <c r="AE284" s="1">
        <f t="shared" si="65"/>
        <v>66.569999999999993</v>
      </c>
      <c r="AF284" s="1">
        <f t="shared" si="66"/>
        <v>126.57</v>
      </c>
    </row>
    <row r="285" spans="1:32" ht="14.25" customHeight="1" x14ac:dyDescent="0.3">
      <c r="A285" s="1" t="s">
        <v>140</v>
      </c>
      <c r="B285" s="1" t="s">
        <v>141</v>
      </c>
      <c r="C285" s="1" t="s">
        <v>142</v>
      </c>
      <c r="D285" s="1" t="str">
        <f t="shared" si="54"/>
        <v>Amy Reid</v>
      </c>
      <c r="E285" s="1">
        <v>44</v>
      </c>
      <c r="F285" s="1" t="s">
        <v>34</v>
      </c>
      <c r="G285" s="1" t="s">
        <v>83</v>
      </c>
      <c r="H285" s="1" t="s">
        <v>143</v>
      </c>
      <c r="I285" s="1" t="s">
        <v>144</v>
      </c>
      <c r="J285" s="1" t="s">
        <v>145</v>
      </c>
      <c r="K285" s="2">
        <v>45377</v>
      </c>
      <c r="L285" s="2" t="str">
        <f t="shared" si="55"/>
        <v>March</v>
      </c>
      <c r="M285" s="1" t="s">
        <v>146</v>
      </c>
      <c r="N285" s="1" t="s">
        <v>147</v>
      </c>
      <c r="O285" s="1">
        <v>220.27</v>
      </c>
      <c r="P285" s="1">
        <v>2</v>
      </c>
      <c r="Q285" s="1">
        <f t="shared" si="56"/>
        <v>440.54</v>
      </c>
      <c r="R285" s="1" t="s">
        <v>56</v>
      </c>
      <c r="S285" s="1">
        <f t="shared" si="57"/>
        <v>0</v>
      </c>
      <c r="T285" s="1">
        <f t="shared" si="58"/>
        <v>440.54</v>
      </c>
      <c r="U285" s="1">
        <v>3</v>
      </c>
      <c r="V285" s="1">
        <f t="shared" si="59"/>
        <v>479.54</v>
      </c>
      <c r="W285" s="1">
        <v>39</v>
      </c>
      <c r="X285" s="2">
        <v>45382</v>
      </c>
      <c r="Y285" s="1" t="s">
        <v>148</v>
      </c>
      <c r="Z285" s="1">
        <f t="shared" si="60"/>
        <v>479.54</v>
      </c>
      <c r="AA285" s="1">
        <f t="shared" si="61"/>
        <v>5</v>
      </c>
      <c r="AB285" s="1" t="str">
        <f t="shared" si="62"/>
        <v>Late</v>
      </c>
      <c r="AC285" s="1">
        <f t="shared" si="63"/>
        <v>440.54</v>
      </c>
      <c r="AD285" s="7">
        <f t="shared" si="64"/>
        <v>0</v>
      </c>
      <c r="AE285" s="1">
        <f t="shared" si="65"/>
        <v>0</v>
      </c>
      <c r="AF285" s="1">
        <f t="shared" si="66"/>
        <v>0</v>
      </c>
    </row>
    <row r="286" spans="1:32" ht="14.25" customHeight="1" x14ac:dyDescent="0.3">
      <c r="A286" s="1" t="s">
        <v>639</v>
      </c>
      <c r="B286" s="1" t="s">
        <v>640</v>
      </c>
      <c r="C286" s="1" t="s">
        <v>641</v>
      </c>
      <c r="D286" s="1" t="str">
        <f t="shared" si="54"/>
        <v>Beth Mason</v>
      </c>
      <c r="E286" s="1">
        <v>45</v>
      </c>
      <c r="F286" s="1" t="s">
        <v>45</v>
      </c>
      <c r="G286" s="1" t="s">
        <v>83</v>
      </c>
      <c r="H286" s="1" t="s">
        <v>642</v>
      </c>
      <c r="I286" s="1" t="s">
        <v>643</v>
      </c>
      <c r="J286" s="1" t="s">
        <v>658</v>
      </c>
      <c r="K286" s="2">
        <v>45673</v>
      </c>
      <c r="L286" s="2" t="str">
        <f t="shared" si="55"/>
        <v>January</v>
      </c>
      <c r="M286" s="1" t="s">
        <v>659</v>
      </c>
      <c r="N286" s="1" t="s">
        <v>147</v>
      </c>
      <c r="O286" s="1">
        <v>220.27</v>
      </c>
      <c r="P286" s="1">
        <v>2</v>
      </c>
      <c r="Q286" s="1">
        <f t="shared" si="56"/>
        <v>440.54</v>
      </c>
      <c r="R286" s="1" t="s">
        <v>78</v>
      </c>
      <c r="S286" s="1">
        <f t="shared" si="57"/>
        <v>88.108000000000004</v>
      </c>
      <c r="T286" s="1">
        <f t="shared" si="58"/>
        <v>352.43200000000002</v>
      </c>
      <c r="U286" s="1">
        <v>1</v>
      </c>
      <c r="V286" s="1">
        <f t="shared" si="59"/>
        <v>415.43200000000002</v>
      </c>
      <c r="W286" s="1">
        <v>63</v>
      </c>
      <c r="X286" s="2">
        <v>45675</v>
      </c>
      <c r="Y286" s="1" t="s">
        <v>660</v>
      </c>
      <c r="Z286" s="1">
        <f t="shared" si="60"/>
        <v>503.54</v>
      </c>
      <c r="AA286" s="1">
        <f t="shared" si="61"/>
        <v>2</v>
      </c>
      <c r="AB286" s="1" t="str">
        <f t="shared" si="62"/>
        <v>Late</v>
      </c>
      <c r="AC286" s="1">
        <f t="shared" si="63"/>
        <v>440.54</v>
      </c>
      <c r="AD286" s="7">
        <f t="shared" si="64"/>
        <v>0.2</v>
      </c>
      <c r="AE286" s="1">
        <f t="shared" si="65"/>
        <v>88.108000000000004</v>
      </c>
      <c r="AF286" s="1">
        <f t="shared" si="66"/>
        <v>151.108</v>
      </c>
    </row>
    <row r="287" spans="1:32" ht="14.25" customHeight="1" x14ac:dyDescent="0.3">
      <c r="A287" s="1" t="s">
        <v>405</v>
      </c>
      <c r="B287" s="1" t="s">
        <v>221</v>
      </c>
      <c r="C287" s="1" t="s">
        <v>406</v>
      </c>
      <c r="D287" s="1" t="str">
        <f t="shared" si="54"/>
        <v>John Ramirez</v>
      </c>
      <c r="E287" s="1">
        <v>28</v>
      </c>
      <c r="F287" s="1" t="s">
        <v>45</v>
      </c>
      <c r="G287" s="1" t="s">
        <v>133</v>
      </c>
      <c r="H287" s="1" t="s">
        <v>407</v>
      </c>
      <c r="I287" s="1" t="s">
        <v>408</v>
      </c>
      <c r="J287" s="1" t="s">
        <v>945</v>
      </c>
      <c r="K287" s="2">
        <v>45550</v>
      </c>
      <c r="L287" s="2" t="str">
        <f t="shared" si="55"/>
        <v>September</v>
      </c>
      <c r="M287" s="1" t="s">
        <v>946</v>
      </c>
      <c r="N287" s="1" t="s">
        <v>147</v>
      </c>
      <c r="O287" s="1">
        <v>220.27</v>
      </c>
      <c r="P287" s="1">
        <v>2</v>
      </c>
      <c r="Q287" s="1">
        <f t="shared" si="56"/>
        <v>440.54</v>
      </c>
      <c r="R287" s="1" t="s">
        <v>78</v>
      </c>
      <c r="S287" s="1">
        <f t="shared" si="57"/>
        <v>88.108000000000004</v>
      </c>
      <c r="T287" s="1">
        <f t="shared" si="58"/>
        <v>352.43200000000002</v>
      </c>
      <c r="U287" s="1">
        <v>1</v>
      </c>
      <c r="V287" s="1">
        <f t="shared" si="59"/>
        <v>394.43200000000002</v>
      </c>
      <c r="W287" s="1">
        <v>42</v>
      </c>
      <c r="X287" s="2">
        <v>45552</v>
      </c>
      <c r="Y287" s="1" t="s">
        <v>947</v>
      </c>
      <c r="Z287" s="1">
        <f t="shared" si="60"/>
        <v>482.54</v>
      </c>
      <c r="AA287" s="1">
        <f t="shared" si="61"/>
        <v>2</v>
      </c>
      <c r="AB287" s="1" t="str">
        <f t="shared" si="62"/>
        <v>Late</v>
      </c>
      <c r="AC287" s="1">
        <f t="shared" si="63"/>
        <v>440.54</v>
      </c>
      <c r="AD287" s="7">
        <f t="shared" si="64"/>
        <v>0.2</v>
      </c>
      <c r="AE287" s="1">
        <f t="shared" si="65"/>
        <v>88.108000000000004</v>
      </c>
      <c r="AF287" s="1">
        <f t="shared" si="66"/>
        <v>130.108</v>
      </c>
    </row>
    <row r="288" spans="1:32" ht="14.25" customHeight="1" x14ac:dyDescent="0.3">
      <c r="A288" s="1" t="s">
        <v>286</v>
      </c>
      <c r="B288" s="1" t="s">
        <v>287</v>
      </c>
      <c r="C288" s="1" t="s">
        <v>288</v>
      </c>
      <c r="D288" s="1" t="str">
        <f t="shared" si="54"/>
        <v>Heather Schneider</v>
      </c>
      <c r="E288" s="1">
        <v>48</v>
      </c>
      <c r="F288" s="1" t="s">
        <v>34</v>
      </c>
      <c r="G288" s="1" t="s">
        <v>83</v>
      </c>
      <c r="H288" s="1" t="s">
        <v>289</v>
      </c>
      <c r="I288" s="1" t="s">
        <v>290</v>
      </c>
      <c r="J288" s="1" t="s">
        <v>1844</v>
      </c>
      <c r="K288" s="2">
        <v>45310</v>
      </c>
      <c r="L288" s="2" t="str">
        <f t="shared" si="55"/>
        <v>January</v>
      </c>
      <c r="M288" s="1" t="s">
        <v>1845</v>
      </c>
      <c r="N288" s="1" t="s">
        <v>147</v>
      </c>
      <c r="O288" s="1">
        <v>220.27</v>
      </c>
      <c r="P288" s="1">
        <v>2</v>
      </c>
      <c r="Q288" s="1">
        <f t="shared" si="56"/>
        <v>440.54</v>
      </c>
      <c r="R288" s="1" t="s">
        <v>51</v>
      </c>
      <c r="S288" s="1">
        <f t="shared" si="57"/>
        <v>66.081000000000003</v>
      </c>
      <c r="T288" s="1">
        <f t="shared" si="58"/>
        <v>374.459</v>
      </c>
      <c r="U288" s="1">
        <v>7</v>
      </c>
      <c r="V288" s="1">
        <f t="shared" si="59"/>
        <v>416.459</v>
      </c>
      <c r="W288" s="1">
        <v>42</v>
      </c>
      <c r="X288" s="2">
        <v>45317</v>
      </c>
      <c r="Y288" s="1" t="s">
        <v>1846</v>
      </c>
      <c r="Z288" s="1">
        <f t="shared" si="60"/>
        <v>482.54</v>
      </c>
      <c r="AA288" s="1">
        <f t="shared" si="61"/>
        <v>7</v>
      </c>
      <c r="AB288" s="1" t="str">
        <f t="shared" si="62"/>
        <v>Intime</v>
      </c>
      <c r="AC288" s="1">
        <f t="shared" si="63"/>
        <v>440.54</v>
      </c>
      <c r="AD288" s="7">
        <f t="shared" si="64"/>
        <v>0.15</v>
      </c>
      <c r="AE288" s="1">
        <f t="shared" si="65"/>
        <v>66.081000000000003</v>
      </c>
      <c r="AF288" s="1">
        <f t="shared" si="66"/>
        <v>108.081</v>
      </c>
    </row>
    <row r="289" spans="1:32" ht="14.25" customHeight="1" x14ac:dyDescent="0.3">
      <c r="A289" s="1" t="s">
        <v>743</v>
      </c>
      <c r="B289" s="1" t="s">
        <v>744</v>
      </c>
      <c r="C289" s="1" t="s">
        <v>745</v>
      </c>
      <c r="D289" s="1" t="str">
        <f t="shared" si="54"/>
        <v>Barbara Fuller</v>
      </c>
      <c r="E289" s="1">
        <v>43</v>
      </c>
      <c r="F289" s="1" t="s">
        <v>45</v>
      </c>
      <c r="G289" s="1" t="s">
        <v>152</v>
      </c>
      <c r="H289" s="1" t="s">
        <v>746</v>
      </c>
      <c r="I289" s="1" t="s">
        <v>747</v>
      </c>
      <c r="J289" s="1" t="s">
        <v>1548</v>
      </c>
      <c r="K289" s="2">
        <v>44966</v>
      </c>
      <c r="L289" s="2" t="str">
        <f t="shared" si="55"/>
        <v>February</v>
      </c>
      <c r="M289" s="1" t="s">
        <v>1549</v>
      </c>
      <c r="N289" s="1" t="s">
        <v>474</v>
      </c>
      <c r="O289" s="1">
        <v>87.09</v>
      </c>
      <c r="P289" s="1">
        <v>5</v>
      </c>
      <c r="Q289" s="1">
        <f t="shared" si="56"/>
        <v>435.45000000000005</v>
      </c>
      <c r="R289" s="1" t="s">
        <v>56</v>
      </c>
      <c r="S289" s="1">
        <f t="shared" si="57"/>
        <v>0</v>
      </c>
      <c r="T289" s="1">
        <f t="shared" si="58"/>
        <v>435.45000000000005</v>
      </c>
      <c r="U289" s="1">
        <v>7</v>
      </c>
      <c r="V289" s="1">
        <f t="shared" si="59"/>
        <v>491.45000000000005</v>
      </c>
      <c r="W289" s="1">
        <v>56</v>
      </c>
      <c r="X289" s="2">
        <v>44971</v>
      </c>
      <c r="Y289" s="1" t="s">
        <v>1550</v>
      </c>
      <c r="Z289" s="1">
        <f t="shared" si="60"/>
        <v>491.45000000000005</v>
      </c>
      <c r="AA289" s="1">
        <f t="shared" si="61"/>
        <v>5</v>
      </c>
      <c r="AB289" s="1" t="str">
        <f t="shared" si="62"/>
        <v>BeforeTime</v>
      </c>
      <c r="AC289" s="1">
        <f t="shared" si="63"/>
        <v>435.45000000000005</v>
      </c>
      <c r="AD289" s="7">
        <f t="shared" si="64"/>
        <v>0</v>
      </c>
      <c r="AE289" s="1">
        <f t="shared" si="65"/>
        <v>0</v>
      </c>
      <c r="AF289" s="1">
        <f t="shared" si="66"/>
        <v>0</v>
      </c>
    </row>
    <row r="290" spans="1:32" ht="14.25" customHeight="1" x14ac:dyDescent="0.3">
      <c r="A290" s="1" t="s">
        <v>1925</v>
      </c>
      <c r="B290" s="1" t="s">
        <v>1926</v>
      </c>
      <c r="C290" s="1" t="s">
        <v>1927</v>
      </c>
      <c r="D290" s="1" t="str">
        <f t="shared" si="54"/>
        <v>Diana French</v>
      </c>
      <c r="E290" s="1">
        <v>54</v>
      </c>
      <c r="F290" s="1" t="s">
        <v>34</v>
      </c>
      <c r="G290" s="1" t="s">
        <v>69</v>
      </c>
      <c r="H290" s="1" t="s">
        <v>1928</v>
      </c>
      <c r="I290" s="1" t="s">
        <v>1929</v>
      </c>
      <c r="J290" s="1" t="s">
        <v>1930</v>
      </c>
      <c r="K290" s="2">
        <v>45587</v>
      </c>
      <c r="L290" s="2" t="str">
        <f t="shared" si="55"/>
        <v>October</v>
      </c>
      <c r="M290" s="1" t="s">
        <v>1931</v>
      </c>
      <c r="N290" s="1" t="s">
        <v>474</v>
      </c>
      <c r="O290" s="1">
        <v>87.09</v>
      </c>
      <c r="P290" s="1">
        <v>5</v>
      </c>
      <c r="Q290" s="1">
        <f t="shared" si="56"/>
        <v>435.45000000000005</v>
      </c>
      <c r="R290" s="1" t="s">
        <v>51</v>
      </c>
      <c r="S290" s="1">
        <f t="shared" si="57"/>
        <v>65.31750000000001</v>
      </c>
      <c r="T290" s="1">
        <f t="shared" si="58"/>
        <v>370.13250000000005</v>
      </c>
      <c r="U290" s="1">
        <v>7</v>
      </c>
      <c r="V290" s="1">
        <f t="shared" si="59"/>
        <v>410.13250000000005</v>
      </c>
      <c r="W290" s="1">
        <v>40</v>
      </c>
      <c r="X290" s="2">
        <v>45589</v>
      </c>
      <c r="Y290" s="1" t="s">
        <v>1932</v>
      </c>
      <c r="Z290" s="1">
        <f t="shared" si="60"/>
        <v>475.45000000000005</v>
      </c>
      <c r="AA290" s="1">
        <f t="shared" si="61"/>
        <v>2</v>
      </c>
      <c r="AB290" s="1" t="str">
        <f t="shared" si="62"/>
        <v>BeforeTime</v>
      </c>
      <c r="AC290" s="1">
        <f t="shared" si="63"/>
        <v>435.45000000000005</v>
      </c>
      <c r="AD290" s="7">
        <f t="shared" si="64"/>
        <v>0.15</v>
      </c>
      <c r="AE290" s="1">
        <f t="shared" si="65"/>
        <v>65.31750000000001</v>
      </c>
      <c r="AF290" s="1">
        <f t="shared" si="66"/>
        <v>105.31750000000001</v>
      </c>
    </row>
    <row r="291" spans="1:32" ht="14.25" customHeight="1" x14ac:dyDescent="0.3">
      <c r="A291" s="1" t="s">
        <v>615</v>
      </c>
      <c r="B291" s="1" t="s">
        <v>122</v>
      </c>
      <c r="C291" s="1" t="s">
        <v>616</v>
      </c>
      <c r="D291" s="1" t="str">
        <f t="shared" si="54"/>
        <v>Joseph Gaines</v>
      </c>
      <c r="E291" s="1">
        <v>47</v>
      </c>
      <c r="F291" s="1" t="s">
        <v>45</v>
      </c>
      <c r="G291" s="1" t="s">
        <v>69</v>
      </c>
      <c r="H291" s="1" t="s">
        <v>617</v>
      </c>
      <c r="I291" s="1" t="s">
        <v>618</v>
      </c>
      <c r="J291" s="1" t="s">
        <v>619</v>
      </c>
      <c r="K291" s="2">
        <v>45076</v>
      </c>
      <c r="L291" s="2" t="str">
        <f t="shared" si="55"/>
        <v>May</v>
      </c>
      <c r="M291" s="1" t="s">
        <v>620</v>
      </c>
      <c r="N291" s="1" t="s">
        <v>376</v>
      </c>
      <c r="O291" s="1">
        <v>431.44</v>
      </c>
      <c r="P291" s="1">
        <v>1</v>
      </c>
      <c r="Q291" s="1">
        <f t="shared" si="56"/>
        <v>431.44</v>
      </c>
      <c r="R291" s="1" t="s">
        <v>56</v>
      </c>
      <c r="S291" s="1">
        <f t="shared" si="57"/>
        <v>0</v>
      </c>
      <c r="T291" s="1">
        <f t="shared" si="58"/>
        <v>431.44</v>
      </c>
      <c r="U291" s="1">
        <v>7</v>
      </c>
      <c r="V291" s="1">
        <f t="shared" si="59"/>
        <v>466.44</v>
      </c>
      <c r="W291" s="1">
        <v>35</v>
      </c>
      <c r="X291" s="2">
        <v>45080</v>
      </c>
      <c r="Y291" s="1" t="s">
        <v>621</v>
      </c>
      <c r="Z291" s="1">
        <f t="shared" si="60"/>
        <v>466.44</v>
      </c>
      <c r="AA291" s="1">
        <f t="shared" si="61"/>
        <v>4</v>
      </c>
      <c r="AB291" s="1" t="str">
        <f t="shared" si="62"/>
        <v>BeforeTime</v>
      </c>
      <c r="AC291" s="1">
        <f t="shared" si="63"/>
        <v>431.44</v>
      </c>
      <c r="AD291" s="7">
        <f t="shared" si="64"/>
        <v>0</v>
      </c>
      <c r="AE291" s="1">
        <f t="shared" si="65"/>
        <v>0</v>
      </c>
      <c r="AF291" s="1">
        <f t="shared" si="66"/>
        <v>0</v>
      </c>
    </row>
    <row r="292" spans="1:32" ht="14.25" customHeight="1" x14ac:dyDescent="0.3">
      <c r="A292" s="1" t="s">
        <v>476</v>
      </c>
      <c r="B292" s="1" t="s">
        <v>477</v>
      </c>
      <c r="C292" s="1" t="s">
        <v>123</v>
      </c>
      <c r="D292" s="1" t="str">
        <f t="shared" si="54"/>
        <v>Brittany Stewart</v>
      </c>
      <c r="E292" s="1">
        <v>68</v>
      </c>
      <c r="F292" s="1" t="s">
        <v>45</v>
      </c>
      <c r="G292" s="1" t="s">
        <v>213</v>
      </c>
      <c r="H292" s="1" t="s">
        <v>478</v>
      </c>
      <c r="I292" s="1" t="s">
        <v>479</v>
      </c>
      <c r="J292" s="1" t="s">
        <v>1107</v>
      </c>
      <c r="K292" s="2">
        <v>45112</v>
      </c>
      <c r="L292" s="2" t="str">
        <f t="shared" si="55"/>
        <v>July</v>
      </c>
      <c r="M292" s="1" t="s">
        <v>1108</v>
      </c>
      <c r="N292" s="1" t="s">
        <v>934</v>
      </c>
      <c r="O292" s="1">
        <v>107.47</v>
      </c>
      <c r="P292" s="1">
        <v>4</v>
      </c>
      <c r="Q292" s="1">
        <f t="shared" si="56"/>
        <v>429.88</v>
      </c>
      <c r="R292" s="1" t="s">
        <v>78</v>
      </c>
      <c r="S292" s="1">
        <f t="shared" si="57"/>
        <v>85.975999999999999</v>
      </c>
      <c r="T292" s="1">
        <f t="shared" si="58"/>
        <v>343.904</v>
      </c>
      <c r="U292" s="1">
        <v>5</v>
      </c>
      <c r="V292" s="1">
        <f t="shared" si="59"/>
        <v>394.904</v>
      </c>
      <c r="W292" s="1">
        <v>51</v>
      </c>
      <c r="X292" s="2">
        <v>45115</v>
      </c>
      <c r="Y292" s="1" t="s">
        <v>1109</v>
      </c>
      <c r="Z292" s="1">
        <f t="shared" si="60"/>
        <v>480.88</v>
      </c>
      <c r="AA292" s="1">
        <f t="shared" si="61"/>
        <v>3</v>
      </c>
      <c r="AB292" s="1" t="str">
        <f t="shared" si="62"/>
        <v>BeforeTime</v>
      </c>
      <c r="AC292" s="1">
        <f t="shared" si="63"/>
        <v>429.88</v>
      </c>
      <c r="AD292" s="7">
        <f t="shared" si="64"/>
        <v>0.2</v>
      </c>
      <c r="AE292" s="1">
        <f t="shared" si="65"/>
        <v>85.975999999999999</v>
      </c>
      <c r="AF292" s="1">
        <f t="shared" si="66"/>
        <v>136.976</v>
      </c>
    </row>
    <row r="293" spans="1:32" ht="14.25" customHeight="1" x14ac:dyDescent="0.3">
      <c r="A293" s="1" t="s">
        <v>1868</v>
      </c>
      <c r="B293" s="1" t="s">
        <v>1097</v>
      </c>
      <c r="C293" s="1" t="s">
        <v>1869</v>
      </c>
      <c r="D293" s="1" t="str">
        <f t="shared" si="54"/>
        <v>Gary Jacobs</v>
      </c>
      <c r="E293" s="1">
        <v>64</v>
      </c>
      <c r="F293" s="1" t="s">
        <v>34</v>
      </c>
      <c r="G293" s="1" t="s">
        <v>69</v>
      </c>
      <c r="H293" s="1" t="s">
        <v>1870</v>
      </c>
      <c r="I293" s="1" t="s">
        <v>1871</v>
      </c>
      <c r="J293" s="1" t="s">
        <v>1872</v>
      </c>
      <c r="K293" s="2">
        <v>45633</v>
      </c>
      <c r="L293" s="2" t="str">
        <f t="shared" si="55"/>
        <v>December</v>
      </c>
      <c r="M293" s="1" t="s">
        <v>1873</v>
      </c>
      <c r="N293" s="1" t="s">
        <v>934</v>
      </c>
      <c r="O293" s="1">
        <v>107.47</v>
      </c>
      <c r="P293" s="1">
        <v>4</v>
      </c>
      <c r="Q293" s="1">
        <f t="shared" si="56"/>
        <v>429.88</v>
      </c>
      <c r="R293" s="1" t="s">
        <v>78</v>
      </c>
      <c r="S293" s="1">
        <f t="shared" si="57"/>
        <v>85.975999999999999</v>
      </c>
      <c r="T293" s="1">
        <f t="shared" si="58"/>
        <v>343.904</v>
      </c>
      <c r="U293" s="1">
        <v>5</v>
      </c>
      <c r="V293" s="1">
        <f t="shared" si="59"/>
        <v>385.904</v>
      </c>
      <c r="W293" s="1">
        <v>42</v>
      </c>
      <c r="X293" s="2">
        <v>45637</v>
      </c>
      <c r="Y293" s="1" t="s">
        <v>1874</v>
      </c>
      <c r="Z293" s="1">
        <f t="shared" si="60"/>
        <v>471.88</v>
      </c>
      <c r="AA293" s="1">
        <f t="shared" si="61"/>
        <v>4</v>
      </c>
      <c r="AB293" s="1" t="str">
        <f t="shared" si="62"/>
        <v>BeforeTime</v>
      </c>
      <c r="AC293" s="1">
        <f t="shared" si="63"/>
        <v>429.88</v>
      </c>
      <c r="AD293" s="7">
        <f t="shared" si="64"/>
        <v>0.2</v>
      </c>
      <c r="AE293" s="1">
        <f t="shared" si="65"/>
        <v>85.975999999999999</v>
      </c>
      <c r="AF293" s="1">
        <f t="shared" si="66"/>
        <v>127.976</v>
      </c>
    </row>
    <row r="294" spans="1:32" ht="14.25" customHeight="1" x14ac:dyDescent="0.3">
      <c r="A294" s="1" t="s">
        <v>459</v>
      </c>
      <c r="B294" s="1" t="s">
        <v>460</v>
      </c>
      <c r="C294" s="1" t="s">
        <v>461</v>
      </c>
      <c r="D294" s="1" t="str">
        <f t="shared" si="54"/>
        <v>Lori Cook</v>
      </c>
      <c r="E294" s="1">
        <v>18</v>
      </c>
      <c r="F294" s="1" t="s">
        <v>34</v>
      </c>
      <c r="G294" s="1" t="s">
        <v>35</v>
      </c>
      <c r="H294" s="1" t="s">
        <v>462</v>
      </c>
      <c r="I294" s="1" t="s">
        <v>463</v>
      </c>
      <c r="J294" s="1" t="s">
        <v>1989</v>
      </c>
      <c r="K294" s="2">
        <v>45380</v>
      </c>
      <c r="L294" s="2" t="str">
        <f t="shared" si="55"/>
        <v>March</v>
      </c>
      <c r="M294" s="1" t="s">
        <v>1990</v>
      </c>
      <c r="N294" s="1" t="s">
        <v>934</v>
      </c>
      <c r="O294" s="1">
        <v>107.47</v>
      </c>
      <c r="P294" s="1">
        <v>4</v>
      </c>
      <c r="Q294" s="1">
        <f t="shared" si="56"/>
        <v>429.88</v>
      </c>
      <c r="R294" s="1" t="s">
        <v>89</v>
      </c>
      <c r="S294" s="1">
        <f t="shared" si="57"/>
        <v>42.988</v>
      </c>
      <c r="T294" s="1">
        <f t="shared" si="58"/>
        <v>386.892</v>
      </c>
      <c r="U294" s="1">
        <v>3</v>
      </c>
      <c r="V294" s="1">
        <f t="shared" si="59"/>
        <v>451.892</v>
      </c>
      <c r="W294" s="1">
        <v>65</v>
      </c>
      <c r="X294" s="2">
        <v>45385</v>
      </c>
      <c r="Y294" s="1" t="s">
        <v>1991</v>
      </c>
      <c r="Z294" s="1">
        <f t="shared" si="60"/>
        <v>494.88</v>
      </c>
      <c r="AA294" s="1">
        <f t="shared" si="61"/>
        <v>5</v>
      </c>
      <c r="AB294" s="1" t="str">
        <f t="shared" si="62"/>
        <v>Late</v>
      </c>
      <c r="AC294" s="1">
        <f t="shared" si="63"/>
        <v>429.88</v>
      </c>
      <c r="AD294" s="7">
        <f t="shared" si="64"/>
        <v>0.1</v>
      </c>
      <c r="AE294" s="1">
        <f t="shared" si="65"/>
        <v>42.988</v>
      </c>
      <c r="AF294" s="1">
        <f t="shared" si="66"/>
        <v>107.988</v>
      </c>
    </row>
    <row r="295" spans="1:32" ht="14.25" customHeight="1" x14ac:dyDescent="0.3">
      <c r="A295" s="1" t="s">
        <v>121</v>
      </c>
      <c r="B295" s="1" t="s">
        <v>122</v>
      </c>
      <c r="C295" s="1" t="s">
        <v>123</v>
      </c>
      <c r="D295" s="1" t="str">
        <f t="shared" si="54"/>
        <v>Joseph Stewart</v>
      </c>
      <c r="E295" s="1">
        <v>30</v>
      </c>
      <c r="F295" s="1" t="s">
        <v>34</v>
      </c>
      <c r="G295" s="1" t="s">
        <v>35</v>
      </c>
      <c r="H295" s="1" t="s">
        <v>124</v>
      </c>
      <c r="I295" s="1" t="s">
        <v>125</v>
      </c>
      <c r="J295" s="1" t="s">
        <v>2010</v>
      </c>
      <c r="K295" s="2">
        <v>45188</v>
      </c>
      <c r="L295" s="2" t="str">
        <f t="shared" si="55"/>
        <v>September</v>
      </c>
      <c r="M295" s="1" t="s">
        <v>2011</v>
      </c>
      <c r="N295" s="1" t="s">
        <v>934</v>
      </c>
      <c r="O295" s="1">
        <v>107.47</v>
      </c>
      <c r="P295" s="1">
        <v>4</v>
      </c>
      <c r="Q295" s="1">
        <f t="shared" si="56"/>
        <v>429.88</v>
      </c>
      <c r="R295" s="1" t="s">
        <v>29</v>
      </c>
      <c r="S295" s="1">
        <f t="shared" si="57"/>
        <v>34.3904</v>
      </c>
      <c r="T295" s="1">
        <f t="shared" si="58"/>
        <v>395.4896</v>
      </c>
      <c r="U295" s="1">
        <v>2</v>
      </c>
      <c r="V295" s="1">
        <f t="shared" si="59"/>
        <v>430.4896</v>
      </c>
      <c r="W295" s="1">
        <v>35</v>
      </c>
      <c r="X295" s="2">
        <v>45191</v>
      </c>
      <c r="Y295" s="1" t="s">
        <v>2012</v>
      </c>
      <c r="Z295" s="1">
        <f t="shared" si="60"/>
        <v>464.88</v>
      </c>
      <c r="AA295" s="1">
        <f t="shared" si="61"/>
        <v>3</v>
      </c>
      <c r="AB295" s="1" t="str">
        <f t="shared" si="62"/>
        <v>Late</v>
      </c>
      <c r="AC295" s="1">
        <f t="shared" si="63"/>
        <v>429.88</v>
      </c>
      <c r="AD295" s="7">
        <f t="shared" si="64"/>
        <v>0.08</v>
      </c>
      <c r="AE295" s="1">
        <f t="shared" si="65"/>
        <v>34.3904</v>
      </c>
      <c r="AF295" s="1">
        <f t="shared" si="66"/>
        <v>69.3904</v>
      </c>
    </row>
    <row r="296" spans="1:32" ht="14.25" customHeight="1" x14ac:dyDescent="0.3">
      <c r="A296" s="1" t="s">
        <v>451</v>
      </c>
      <c r="B296" s="1" t="s">
        <v>452</v>
      </c>
      <c r="C296" s="1" t="s">
        <v>453</v>
      </c>
      <c r="D296" s="1" t="str">
        <f t="shared" si="54"/>
        <v>Rebecca Figueroa</v>
      </c>
      <c r="E296" s="1">
        <v>63</v>
      </c>
      <c r="F296" s="1" t="s">
        <v>22</v>
      </c>
      <c r="G296" s="1" t="s">
        <v>133</v>
      </c>
      <c r="H296" s="1" t="s">
        <v>454</v>
      </c>
      <c r="I296" s="1" t="s">
        <v>455</v>
      </c>
      <c r="J296" s="1" t="s">
        <v>1255</v>
      </c>
      <c r="K296" s="2">
        <v>45457</v>
      </c>
      <c r="L296" s="2" t="str">
        <f t="shared" si="55"/>
        <v>June</v>
      </c>
      <c r="M296" s="1" t="s">
        <v>1256</v>
      </c>
      <c r="N296" s="1" t="s">
        <v>546</v>
      </c>
      <c r="O296" s="1">
        <v>425.59</v>
      </c>
      <c r="P296" s="1">
        <v>1</v>
      </c>
      <c r="Q296" s="1">
        <f t="shared" si="56"/>
        <v>425.59</v>
      </c>
      <c r="R296" s="1" t="s">
        <v>78</v>
      </c>
      <c r="S296" s="1">
        <f t="shared" si="57"/>
        <v>85.117999999999995</v>
      </c>
      <c r="T296" s="1">
        <f t="shared" si="58"/>
        <v>340.47199999999998</v>
      </c>
      <c r="U296" s="1">
        <v>7</v>
      </c>
      <c r="V296" s="1">
        <f t="shared" si="59"/>
        <v>380.47199999999998</v>
      </c>
      <c r="W296" s="1">
        <v>40</v>
      </c>
      <c r="X296" s="2">
        <v>45460</v>
      </c>
      <c r="Y296" s="1" t="s">
        <v>1257</v>
      </c>
      <c r="Z296" s="1">
        <f t="shared" si="60"/>
        <v>465.59</v>
      </c>
      <c r="AA296" s="1">
        <f t="shared" si="61"/>
        <v>3</v>
      </c>
      <c r="AB296" s="1" t="str">
        <f t="shared" si="62"/>
        <v>BeforeTime</v>
      </c>
      <c r="AC296" s="1">
        <f t="shared" si="63"/>
        <v>425.59</v>
      </c>
      <c r="AD296" s="7">
        <f t="shared" si="64"/>
        <v>0.2</v>
      </c>
      <c r="AE296" s="1">
        <f t="shared" si="65"/>
        <v>85.117999999999995</v>
      </c>
      <c r="AF296" s="1">
        <f t="shared" si="66"/>
        <v>125.11799999999999</v>
      </c>
    </row>
    <row r="297" spans="1:32" ht="14.25" customHeight="1" x14ac:dyDescent="0.3">
      <c r="A297" s="1" t="s">
        <v>351</v>
      </c>
      <c r="B297" s="1" t="s">
        <v>352</v>
      </c>
      <c r="C297" s="1" t="s">
        <v>353</v>
      </c>
      <c r="D297" s="1" t="str">
        <f t="shared" si="54"/>
        <v>Robert Castillo</v>
      </c>
      <c r="E297" s="1">
        <v>32</v>
      </c>
      <c r="F297" s="1" t="s">
        <v>34</v>
      </c>
      <c r="G297" s="1" t="s">
        <v>161</v>
      </c>
      <c r="H297" s="1" t="s">
        <v>354</v>
      </c>
      <c r="I297" s="1" t="s">
        <v>355</v>
      </c>
      <c r="J297" s="1" t="s">
        <v>1441</v>
      </c>
      <c r="K297" s="2">
        <v>45515</v>
      </c>
      <c r="L297" s="2" t="str">
        <f t="shared" si="55"/>
        <v>August</v>
      </c>
      <c r="M297" s="1" t="s">
        <v>1442</v>
      </c>
      <c r="N297" s="1" t="s">
        <v>546</v>
      </c>
      <c r="O297" s="1">
        <v>425.59</v>
      </c>
      <c r="P297" s="1">
        <v>1</v>
      </c>
      <c r="Q297" s="1">
        <f t="shared" si="56"/>
        <v>425.59</v>
      </c>
      <c r="R297" s="1" t="s">
        <v>29</v>
      </c>
      <c r="S297" s="1">
        <f t="shared" si="57"/>
        <v>34.047199999999997</v>
      </c>
      <c r="T297" s="1">
        <f t="shared" si="58"/>
        <v>391.5428</v>
      </c>
      <c r="U297" s="1">
        <v>1</v>
      </c>
      <c r="V297" s="1">
        <f t="shared" si="59"/>
        <v>453.5428</v>
      </c>
      <c r="W297" s="1">
        <v>62</v>
      </c>
      <c r="X297" s="2">
        <v>45518</v>
      </c>
      <c r="Y297" s="1" t="s">
        <v>1443</v>
      </c>
      <c r="Z297" s="1">
        <f t="shared" si="60"/>
        <v>487.59</v>
      </c>
      <c r="AA297" s="1">
        <f t="shared" si="61"/>
        <v>3</v>
      </c>
      <c r="AB297" s="1" t="str">
        <f t="shared" si="62"/>
        <v>Late</v>
      </c>
      <c r="AC297" s="1">
        <f t="shared" si="63"/>
        <v>425.59</v>
      </c>
      <c r="AD297" s="7">
        <f t="shared" si="64"/>
        <v>0.08</v>
      </c>
      <c r="AE297" s="1">
        <f t="shared" si="65"/>
        <v>34.047199999999997</v>
      </c>
      <c r="AF297" s="1">
        <f t="shared" si="66"/>
        <v>96.047200000000004</v>
      </c>
    </row>
    <row r="298" spans="1:32" ht="14.25" customHeight="1" x14ac:dyDescent="0.3">
      <c r="A298" s="1" t="s">
        <v>672</v>
      </c>
      <c r="B298" s="1" t="s">
        <v>673</v>
      </c>
      <c r="C298" s="1" t="s">
        <v>674</v>
      </c>
      <c r="D298" s="1" t="str">
        <f t="shared" si="54"/>
        <v>Troy Gomez</v>
      </c>
      <c r="E298" s="1">
        <v>68</v>
      </c>
      <c r="F298" s="1" t="s">
        <v>22</v>
      </c>
      <c r="G298" s="1" t="s">
        <v>213</v>
      </c>
      <c r="H298" s="1" t="s">
        <v>675</v>
      </c>
      <c r="I298" s="1" t="s">
        <v>676</v>
      </c>
      <c r="J298" s="1" t="s">
        <v>677</v>
      </c>
      <c r="K298" s="2">
        <v>45636</v>
      </c>
      <c r="L298" s="2" t="str">
        <f t="shared" si="55"/>
        <v>December</v>
      </c>
      <c r="M298" s="1" t="s">
        <v>678</v>
      </c>
      <c r="N298" s="1" t="s">
        <v>679</v>
      </c>
      <c r="O298" s="1">
        <v>424.82</v>
      </c>
      <c r="P298" s="1">
        <v>1</v>
      </c>
      <c r="Q298" s="1">
        <f t="shared" si="56"/>
        <v>424.82</v>
      </c>
      <c r="R298" s="1" t="s">
        <v>56</v>
      </c>
      <c r="S298" s="1">
        <f t="shared" si="57"/>
        <v>0</v>
      </c>
      <c r="T298" s="1">
        <f t="shared" si="58"/>
        <v>424.82</v>
      </c>
      <c r="U298" s="1">
        <v>6</v>
      </c>
      <c r="V298" s="1">
        <f t="shared" si="59"/>
        <v>468.82</v>
      </c>
      <c r="W298" s="1">
        <v>44</v>
      </c>
      <c r="X298" s="2">
        <v>45638</v>
      </c>
      <c r="Y298" s="1" t="s">
        <v>680</v>
      </c>
      <c r="Z298" s="1">
        <f t="shared" si="60"/>
        <v>468.82</v>
      </c>
      <c r="AA298" s="1">
        <f t="shared" si="61"/>
        <v>2</v>
      </c>
      <c r="AB298" s="1" t="str">
        <f t="shared" si="62"/>
        <v>BeforeTime</v>
      </c>
      <c r="AC298" s="1">
        <f t="shared" si="63"/>
        <v>424.82</v>
      </c>
      <c r="AD298" s="7">
        <f t="shared" si="64"/>
        <v>0</v>
      </c>
      <c r="AE298" s="1">
        <f t="shared" si="65"/>
        <v>0</v>
      </c>
      <c r="AF298" s="1">
        <f t="shared" si="66"/>
        <v>0</v>
      </c>
    </row>
    <row r="299" spans="1:32" ht="14.25" customHeight="1" x14ac:dyDescent="0.3">
      <c r="A299" s="1" t="s">
        <v>428</v>
      </c>
      <c r="B299" s="1" t="s">
        <v>429</v>
      </c>
      <c r="C299" s="1" t="s">
        <v>430</v>
      </c>
      <c r="D299" s="1" t="str">
        <f t="shared" si="54"/>
        <v>Mary Knight</v>
      </c>
      <c r="E299" s="1">
        <v>28</v>
      </c>
      <c r="F299" s="1" t="s">
        <v>45</v>
      </c>
      <c r="G299" s="1" t="s">
        <v>69</v>
      </c>
      <c r="H299" s="1" t="s">
        <v>431</v>
      </c>
      <c r="I299" s="1" t="s">
        <v>432</v>
      </c>
      <c r="J299" s="1" t="s">
        <v>1482</v>
      </c>
      <c r="K299" s="2">
        <v>45501</v>
      </c>
      <c r="L299" s="2" t="str">
        <f t="shared" si="55"/>
        <v>July</v>
      </c>
      <c r="M299" s="1" t="s">
        <v>1483</v>
      </c>
      <c r="N299" s="1" t="s">
        <v>679</v>
      </c>
      <c r="O299" s="1">
        <v>424.82</v>
      </c>
      <c r="P299" s="1">
        <v>1</v>
      </c>
      <c r="Q299" s="1">
        <f t="shared" si="56"/>
        <v>424.82</v>
      </c>
      <c r="R299" s="1" t="s">
        <v>29</v>
      </c>
      <c r="S299" s="1">
        <f t="shared" si="57"/>
        <v>33.985599999999998</v>
      </c>
      <c r="T299" s="1">
        <f t="shared" si="58"/>
        <v>390.83440000000002</v>
      </c>
      <c r="U299" s="1">
        <v>5</v>
      </c>
      <c r="V299" s="1">
        <f t="shared" si="59"/>
        <v>439.83440000000002</v>
      </c>
      <c r="W299" s="1">
        <v>49</v>
      </c>
      <c r="X299" s="2">
        <v>45508</v>
      </c>
      <c r="Y299" s="1" t="s">
        <v>1484</v>
      </c>
      <c r="Z299" s="1">
        <f t="shared" si="60"/>
        <v>473.82</v>
      </c>
      <c r="AA299" s="1">
        <f t="shared" si="61"/>
        <v>7</v>
      </c>
      <c r="AB299" s="1" t="str">
        <f t="shared" si="62"/>
        <v>Late</v>
      </c>
      <c r="AC299" s="1">
        <f t="shared" si="63"/>
        <v>424.82</v>
      </c>
      <c r="AD299" s="7">
        <f t="shared" si="64"/>
        <v>0.08</v>
      </c>
      <c r="AE299" s="1">
        <f t="shared" si="65"/>
        <v>33.985599999999998</v>
      </c>
      <c r="AF299" s="1">
        <f t="shared" si="66"/>
        <v>82.985600000000005</v>
      </c>
    </row>
    <row r="300" spans="1:32" ht="14.25" customHeight="1" x14ac:dyDescent="0.3">
      <c r="A300" s="1" t="s">
        <v>483</v>
      </c>
      <c r="B300" s="1" t="s">
        <v>179</v>
      </c>
      <c r="C300" s="1" t="s">
        <v>320</v>
      </c>
      <c r="D300" s="1" t="str">
        <f t="shared" si="54"/>
        <v>Mitchell Parker</v>
      </c>
      <c r="E300" s="1">
        <v>39</v>
      </c>
      <c r="F300" s="1" t="s">
        <v>45</v>
      </c>
      <c r="G300" s="1" t="s">
        <v>35</v>
      </c>
      <c r="H300" s="1" t="s">
        <v>484</v>
      </c>
      <c r="I300" s="1" t="s">
        <v>485</v>
      </c>
      <c r="J300" s="1" t="s">
        <v>486</v>
      </c>
      <c r="K300" s="2">
        <v>45680</v>
      </c>
      <c r="L300" s="2" t="str">
        <f t="shared" si="55"/>
        <v>January</v>
      </c>
      <c r="M300" s="1" t="s">
        <v>487</v>
      </c>
      <c r="N300" s="1" t="s">
        <v>488</v>
      </c>
      <c r="O300" s="1">
        <v>421.7</v>
      </c>
      <c r="P300" s="1">
        <v>1</v>
      </c>
      <c r="Q300" s="1">
        <f t="shared" si="56"/>
        <v>421.7</v>
      </c>
      <c r="R300" s="1" t="s">
        <v>89</v>
      </c>
      <c r="S300" s="1">
        <f t="shared" si="57"/>
        <v>42.17</v>
      </c>
      <c r="T300" s="1">
        <f t="shared" si="58"/>
        <v>379.53</v>
      </c>
      <c r="U300" s="1">
        <v>3</v>
      </c>
      <c r="V300" s="1">
        <f t="shared" si="59"/>
        <v>438.53</v>
      </c>
      <c r="W300" s="1">
        <v>59</v>
      </c>
      <c r="X300" s="2">
        <v>45684</v>
      </c>
      <c r="Y300" s="1" t="s">
        <v>489</v>
      </c>
      <c r="Z300" s="1">
        <f t="shared" si="60"/>
        <v>480.7</v>
      </c>
      <c r="AA300" s="1">
        <f t="shared" si="61"/>
        <v>4</v>
      </c>
      <c r="AB300" s="1" t="str">
        <f t="shared" si="62"/>
        <v>Late</v>
      </c>
      <c r="AC300" s="1">
        <f t="shared" si="63"/>
        <v>421.7</v>
      </c>
      <c r="AD300" s="7">
        <f t="shared" si="64"/>
        <v>0.1</v>
      </c>
      <c r="AE300" s="1">
        <f t="shared" si="65"/>
        <v>42.17</v>
      </c>
      <c r="AF300" s="1">
        <f t="shared" si="66"/>
        <v>101.17</v>
      </c>
    </row>
    <row r="301" spans="1:32" ht="14.25" customHeight="1" x14ac:dyDescent="0.3">
      <c r="A301" s="1" t="s">
        <v>476</v>
      </c>
      <c r="B301" s="1" t="s">
        <v>477</v>
      </c>
      <c r="C301" s="1" t="s">
        <v>123</v>
      </c>
      <c r="D301" s="1" t="str">
        <f t="shared" si="54"/>
        <v>Brittany Stewart</v>
      </c>
      <c r="E301" s="1">
        <v>68</v>
      </c>
      <c r="F301" s="1" t="s">
        <v>45</v>
      </c>
      <c r="G301" s="1" t="s">
        <v>213</v>
      </c>
      <c r="H301" s="1" t="s">
        <v>478</v>
      </c>
      <c r="I301" s="1" t="s">
        <v>479</v>
      </c>
      <c r="J301" s="1" t="s">
        <v>926</v>
      </c>
      <c r="K301" s="2">
        <v>45529</v>
      </c>
      <c r="L301" s="2" t="str">
        <f t="shared" si="55"/>
        <v>August</v>
      </c>
      <c r="M301" s="1" t="s">
        <v>927</v>
      </c>
      <c r="N301" s="1" t="s">
        <v>175</v>
      </c>
      <c r="O301" s="1">
        <v>104.18</v>
      </c>
      <c r="P301" s="1">
        <v>4</v>
      </c>
      <c r="Q301" s="1">
        <f t="shared" si="56"/>
        <v>416.72</v>
      </c>
      <c r="R301" s="1" t="s">
        <v>29</v>
      </c>
      <c r="S301" s="1">
        <f t="shared" si="57"/>
        <v>33.337600000000002</v>
      </c>
      <c r="T301" s="1">
        <f t="shared" si="58"/>
        <v>383.38240000000002</v>
      </c>
      <c r="U301" s="1">
        <v>4</v>
      </c>
      <c r="V301" s="1">
        <f t="shared" si="59"/>
        <v>428.38240000000002</v>
      </c>
      <c r="W301" s="1">
        <v>45</v>
      </c>
      <c r="X301" s="2">
        <v>45536</v>
      </c>
      <c r="Y301" s="1" t="s">
        <v>928</v>
      </c>
      <c r="Z301" s="1">
        <f t="shared" si="60"/>
        <v>461.72</v>
      </c>
      <c r="AA301" s="1">
        <f t="shared" si="61"/>
        <v>7</v>
      </c>
      <c r="AB301" s="1" t="str">
        <f t="shared" si="62"/>
        <v>Late</v>
      </c>
      <c r="AC301" s="1">
        <f t="shared" si="63"/>
        <v>416.72</v>
      </c>
      <c r="AD301" s="7">
        <f t="shared" si="64"/>
        <v>0.08</v>
      </c>
      <c r="AE301" s="1">
        <f t="shared" si="65"/>
        <v>33.337600000000002</v>
      </c>
      <c r="AF301" s="1">
        <f t="shared" si="66"/>
        <v>78.337600000000009</v>
      </c>
    </row>
    <row r="302" spans="1:32" ht="14.25" customHeight="1" x14ac:dyDescent="0.3">
      <c r="A302" s="1" t="s">
        <v>229</v>
      </c>
      <c r="B302" s="1" t="s">
        <v>59</v>
      </c>
      <c r="C302" s="1" t="s">
        <v>230</v>
      </c>
      <c r="D302" s="1" t="str">
        <f t="shared" si="54"/>
        <v>Angela Evans</v>
      </c>
      <c r="E302" s="1">
        <v>52</v>
      </c>
      <c r="F302" s="1" t="s">
        <v>45</v>
      </c>
      <c r="G302" s="1" t="s">
        <v>35</v>
      </c>
      <c r="H302" s="1" t="s">
        <v>231</v>
      </c>
      <c r="I302" s="1" t="s">
        <v>232</v>
      </c>
      <c r="J302" s="1" t="s">
        <v>1551</v>
      </c>
      <c r="K302" s="2">
        <v>45303</v>
      </c>
      <c r="L302" s="2" t="str">
        <f t="shared" si="55"/>
        <v>January</v>
      </c>
      <c r="M302" s="1" t="s">
        <v>1552</v>
      </c>
      <c r="N302" s="1" t="s">
        <v>175</v>
      </c>
      <c r="O302" s="1">
        <v>104.18</v>
      </c>
      <c r="P302" s="1">
        <v>4</v>
      </c>
      <c r="Q302" s="1">
        <f t="shared" si="56"/>
        <v>416.72</v>
      </c>
      <c r="R302" s="1" t="s">
        <v>56</v>
      </c>
      <c r="S302" s="1">
        <f t="shared" si="57"/>
        <v>0</v>
      </c>
      <c r="T302" s="1">
        <f t="shared" si="58"/>
        <v>416.72</v>
      </c>
      <c r="U302" s="1">
        <v>3</v>
      </c>
      <c r="V302" s="1">
        <f t="shared" si="59"/>
        <v>456.72</v>
      </c>
      <c r="W302" s="1">
        <v>40</v>
      </c>
      <c r="X302" s="2">
        <v>45308</v>
      </c>
      <c r="Y302" s="1" t="s">
        <v>1553</v>
      </c>
      <c r="Z302" s="1">
        <f t="shared" si="60"/>
        <v>456.72</v>
      </c>
      <c r="AA302" s="1">
        <f t="shared" si="61"/>
        <v>5</v>
      </c>
      <c r="AB302" s="1" t="str">
        <f t="shared" si="62"/>
        <v>Late</v>
      </c>
      <c r="AC302" s="1">
        <f t="shared" si="63"/>
        <v>416.72</v>
      </c>
      <c r="AD302" s="7">
        <f t="shared" si="64"/>
        <v>0</v>
      </c>
      <c r="AE302" s="1">
        <f t="shared" si="65"/>
        <v>0</v>
      </c>
      <c r="AF302" s="1">
        <f t="shared" si="66"/>
        <v>0</v>
      </c>
    </row>
    <row r="303" spans="1:32" ht="14.25" customHeight="1" x14ac:dyDescent="0.3">
      <c r="A303" s="1" t="s">
        <v>483</v>
      </c>
      <c r="B303" s="1" t="s">
        <v>179</v>
      </c>
      <c r="C303" s="1" t="s">
        <v>320</v>
      </c>
      <c r="D303" s="1" t="str">
        <f t="shared" si="54"/>
        <v>Mitchell Parker</v>
      </c>
      <c r="E303" s="1">
        <v>39</v>
      </c>
      <c r="F303" s="1" t="s">
        <v>45</v>
      </c>
      <c r="G303" s="1" t="s">
        <v>35</v>
      </c>
      <c r="H303" s="1" t="s">
        <v>484</v>
      </c>
      <c r="I303" s="1" t="s">
        <v>485</v>
      </c>
      <c r="J303" s="1" t="s">
        <v>1026</v>
      </c>
      <c r="K303" s="2">
        <v>45036</v>
      </c>
      <c r="L303" s="2" t="str">
        <f t="shared" si="55"/>
        <v>April</v>
      </c>
      <c r="M303" s="1" t="s">
        <v>1027</v>
      </c>
      <c r="N303" s="1" t="s">
        <v>507</v>
      </c>
      <c r="O303" s="1">
        <v>136.30000000000001</v>
      </c>
      <c r="P303" s="1">
        <v>3</v>
      </c>
      <c r="Q303" s="1">
        <f t="shared" si="56"/>
        <v>408.90000000000003</v>
      </c>
      <c r="R303" s="1" t="s">
        <v>51</v>
      </c>
      <c r="S303" s="1">
        <f t="shared" si="57"/>
        <v>61.335000000000001</v>
      </c>
      <c r="T303" s="1">
        <f t="shared" si="58"/>
        <v>347.56500000000005</v>
      </c>
      <c r="U303" s="1">
        <v>6</v>
      </c>
      <c r="V303" s="1">
        <f t="shared" si="59"/>
        <v>389.56500000000005</v>
      </c>
      <c r="W303" s="1">
        <v>42</v>
      </c>
      <c r="X303" s="2">
        <v>45043</v>
      </c>
      <c r="Y303" s="1" t="s">
        <v>1028</v>
      </c>
      <c r="Z303" s="1">
        <f t="shared" si="60"/>
        <v>450.90000000000003</v>
      </c>
      <c r="AA303" s="1">
        <f t="shared" si="61"/>
        <v>7</v>
      </c>
      <c r="AB303" s="1" t="str">
        <f t="shared" si="62"/>
        <v>Late</v>
      </c>
      <c r="AC303" s="1">
        <f t="shared" si="63"/>
        <v>408.90000000000003</v>
      </c>
      <c r="AD303" s="7">
        <f t="shared" si="64"/>
        <v>0.15</v>
      </c>
      <c r="AE303" s="1">
        <f t="shared" si="65"/>
        <v>61.335000000000001</v>
      </c>
      <c r="AF303" s="1">
        <f t="shared" si="66"/>
        <v>103.33500000000001</v>
      </c>
    </row>
    <row r="304" spans="1:32" ht="14.25" customHeight="1" x14ac:dyDescent="0.3">
      <c r="A304" s="1" t="s">
        <v>31</v>
      </c>
      <c r="B304" s="1" t="s">
        <v>32</v>
      </c>
      <c r="C304" s="1" t="s">
        <v>33</v>
      </c>
      <c r="D304" s="1" t="str">
        <f t="shared" si="54"/>
        <v>Anthony Thomas</v>
      </c>
      <c r="E304" s="1">
        <v>53</v>
      </c>
      <c r="F304" s="1" t="s">
        <v>34</v>
      </c>
      <c r="G304" s="1" t="s">
        <v>35</v>
      </c>
      <c r="H304" s="1" t="s">
        <v>36</v>
      </c>
      <c r="I304" s="1" t="s">
        <v>37</v>
      </c>
      <c r="J304" s="1" t="s">
        <v>804</v>
      </c>
      <c r="K304" s="2">
        <v>45589</v>
      </c>
      <c r="L304" s="2" t="str">
        <f t="shared" si="55"/>
        <v>October</v>
      </c>
      <c r="M304" s="1" t="s">
        <v>805</v>
      </c>
      <c r="N304" s="1" t="s">
        <v>50</v>
      </c>
      <c r="O304" s="1">
        <v>202.54</v>
      </c>
      <c r="P304" s="1">
        <v>2</v>
      </c>
      <c r="Q304" s="1">
        <f t="shared" si="56"/>
        <v>405.08</v>
      </c>
      <c r="R304" s="1" t="s">
        <v>78</v>
      </c>
      <c r="S304" s="1">
        <f t="shared" si="57"/>
        <v>81.016000000000005</v>
      </c>
      <c r="T304" s="1">
        <f t="shared" si="58"/>
        <v>324.06399999999996</v>
      </c>
      <c r="U304" s="1">
        <v>6</v>
      </c>
      <c r="V304" s="1">
        <f t="shared" si="59"/>
        <v>394.06399999999996</v>
      </c>
      <c r="W304" s="1">
        <v>70</v>
      </c>
      <c r="X304" s="2">
        <v>45594</v>
      </c>
      <c r="Y304" s="1" t="s">
        <v>806</v>
      </c>
      <c r="Z304" s="1">
        <f t="shared" si="60"/>
        <v>475.08</v>
      </c>
      <c r="AA304" s="1">
        <f t="shared" si="61"/>
        <v>5</v>
      </c>
      <c r="AB304" s="1" t="str">
        <f t="shared" si="62"/>
        <v>BeforeTime</v>
      </c>
      <c r="AC304" s="1">
        <f t="shared" si="63"/>
        <v>405.08</v>
      </c>
      <c r="AD304" s="7">
        <f t="shared" si="64"/>
        <v>0.2</v>
      </c>
      <c r="AE304" s="1">
        <f t="shared" si="65"/>
        <v>81.016000000000005</v>
      </c>
      <c r="AF304" s="1">
        <f t="shared" si="66"/>
        <v>151.01600000000002</v>
      </c>
    </row>
    <row r="305" spans="1:32" ht="14.25" customHeight="1" x14ac:dyDescent="0.3">
      <c r="A305" s="1" t="s">
        <v>318</v>
      </c>
      <c r="B305" s="1" t="s">
        <v>319</v>
      </c>
      <c r="C305" s="1" t="s">
        <v>320</v>
      </c>
      <c r="D305" s="1" t="str">
        <f t="shared" si="54"/>
        <v>Courtney Parker</v>
      </c>
      <c r="E305" s="1">
        <v>29</v>
      </c>
      <c r="F305" s="1" t="s">
        <v>45</v>
      </c>
      <c r="G305" s="1" t="s">
        <v>83</v>
      </c>
      <c r="H305" s="1" t="s">
        <v>321</v>
      </c>
      <c r="I305" s="1" t="s">
        <v>322</v>
      </c>
      <c r="J305" s="1" t="s">
        <v>323</v>
      </c>
      <c r="K305" s="2">
        <v>45656</v>
      </c>
      <c r="L305" s="2" t="str">
        <f t="shared" si="55"/>
        <v>December</v>
      </c>
      <c r="M305" s="1" t="s">
        <v>324</v>
      </c>
      <c r="N305" s="1" t="s">
        <v>55</v>
      </c>
      <c r="O305" s="1">
        <v>405</v>
      </c>
      <c r="P305" s="1">
        <v>1</v>
      </c>
      <c r="Q305" s="1">
        <f t="shared" si="56"/>
        <v>405</v>
      </c>
      <c r="R305" s="1" t="s">
        <v>56</v>
      </c>
      <c r="S305" s="1">
        <f t="shared" si="57"/>
        <v>0</v>
      </c>
      <c r="T305" s="1">
        <f t="shared" si="58"/>
        <v>405</v>
      </c>
      <c r="U305" s="1">
        <v>7</v>
      </c>
      <c r="V305" s="1">
        <f t="shared" si="59"/>
        <v>441</v>
      </c>
      <c r="W305" s="1">
        <v>36</v>
      </c>
      <c r="X305" s="2">
        <v>45661</v>
      </c>
      <c r="Y305" s="1" t="s">
        <v>325</v>
      </c>
      <c r="Z305" s="1">
        <f t="shared" si="60"/>
        <v>441</v>
      </c>
      <c r="AA305" s="1">
        <f t="shared" si="61"/>
        <v>5</v>
      </c>
      <c r="AB305" s="1" t="str">
        <f t="shared" si="62"/>
        <v>BeforeTime</v>
      </c>
      <c r="AC305" s="1">
        <f t="shared" si="63"/>
        <v>405</v>
      </c>
      <c r="AD305" s="7">
        <f t="shared" si="64"/>
        <v>0</v>
      </c>
      <c r="AE305" s="1">
        <f t="shared" si="65"/>
        <v>0</v>
      </c>
      <c r="AF305" s="1">
        <f t="shared" si="66"/>
        <v>0</v>
      </c>
    </row>
    <row r="306" spans="1:32" ht="14.25" customHeight="1" x14ac:dyDescent="0.3">
      <c r="A306" s="1" t="s">
        <v>428</v>
      </c>
      <c r="B306" s="1" t="s">
        <v>429</v>
      </c>
      <c r="C306" s="1" t="s">
        <v>430</v>
      </c>
      <c r="D306" s="1" t="str">
        <f t="shared" si="54"/>
        <v>Mary Knight</v>
      </c>
      <c r="E306" s="1">
        <v>28</v>
      </c>
      <c r="F306" s="1" t="s">
        <v>45</v>
      </c>
      <c r="G306" s="1" t="s">
        <v>69</v>
      </c>
      <c r="H306" s="1" t="s">
        <v>431</v>
      </c>
      <c r="I306" s="1" t="s">
        <v>432</v>
      </c>
      <c r="J306" s="1" t="s">
        <v>433</v>
      </c>
      <c r="K306" s="2">
        <v>45229</v>
      </c>
      <c r="L306" s="2" t="str">
        <f t="shared" si="55"/>
        <v>October</v>
      </c>
      <c r="M306" s="1" t="s">
        <v>434</v>
      </c>
      <c r="N306" s="1" t="s">
        <v>55</v>
      </c>
      <c r="O306" s="1">
        <v>405</v>
      </c>
      <c r="P306" s="1">
        <v>1</v>
      </c>
      <c r="Q306" s="1">
        <f t="shared" si="56"/>
        <v>405</v>
      </c>
      <c r="R306" s="1" t="s">
        <v>56</v>
      </c>
      <c r="S306" s="1">
        <f t="shared" si="57"/>
        <v>0</v>
      </c>
      <c r="T306" s="1">
        <f t="shared" si="58"/>
        <v>405</v>
      </c>
      <c r="U306" s="1">
        <v>5</v>
      </c>
      <c r="V306" s="1">
        <f t="shared" si="59"/>
        <v>449</v>
      </c>
      <c r="W306" s="1">
        <v>44</v>
      </c>
      <c r="X306" s="2">
        <v>45233</v>
      </c>
      <c r="Y306" s="1" t="s">
        <v>435</v>
      </c>
      <c r="Z306" s="1">
        <f t="shared" si="60"/>
        <v>449</v>
      </c>
      <c r="AA306" s="1">
        <f t="shared" si="61"/>
        <v>4</v>
      </c>
      <c r="AB306" s="1" t="str">
        <f t="shared" si="62"/>
        <v>BeforeTime</v>
      </c>
      <c r="AC306" s="1">
        <f t="shared" si="63"/>
        <v>405</v>
      </c>
      <c r="AD306" s="7">
        <f t="shared" si="64"/>
        <v>0</v>
      </c>
      <c r="AE306" s="1">
        <f t="shared" si="65"/>
        <v>0</v>
      </c>
      <c r="AF306" s="1">
        <f t="shared" si="66"/>
        <v>0</v>
      </c>
    </row>
    <row r="307" spans="1:32" ht="14.25" customHeight="1" x14ac:dyDescent="0.3">
      <c r="A307" s="1" t="s">
        <v>202</v>
      </c>
      <c r="B307" s="1" t="s">
        <v>203</v>
      </c>
      <c r="C307" s="1" t="s">
        <v>204</v>
      </c>
      <c r="D307" s="1" t="str">
        <f t="shared" si="54"/>
        <v>Christian Clayton</v>
      </c>
      <c r="E307" s="1">
        <v>39</v>
      </c>
      <c r="F307" s="1" t="s">
        <v>34</v>
      </c>
      <c r="G307" s="1" t="s">
        <v>152</v>
      </c>
      <c r="H307" s="1" t="s">
        <v>205</v>
      </c>
      <c r="I307" s="1" t="s">
        <v>206</v>
      </c>
      <c r="J307" s="1" t="s">
        <v>581</v>
      </c>
      <c r="K307" s="2">
        <v>45525</v>
      </c>
      <c r="L307" s="2" t="str">
        <f t="shared" si="55"/>
        <v>August</v>
      </c>
      <c r="M307" s="1" t="s">
        <v>582</v>
      </c>
      <c r="N307" s="1" t="s">
        <v>583</v>
      </c>
      <c r="O307" s="1">
        <v>403.03</v>
      </c>
      <c r="P307" s="1">
        <v>1</v>
      </c>
      <c r="Q307" s="1">
        <f t="shared" si="56"/>
        <v>403.03</v>
      </c>
      <c r="R307" s="1" t="s">
        <v>78</v>
      </c>
      <c r="S307" s="1">
        <f t="shared" si="57"/>
        <v>80.605999999999995</v>
      </c>
      <c r="T307" s="1">
        <f t="shared" si="58"/>
        <v>322.42399999999998</v>
      </c>
      <c r="U307" s="1">
        <v>3</v>
      </c>
      <c r="V307" s="1">
        <f t="shared" si="59"/>
        <v>374.42399999999998</v>
      </c>
      <c r="W307" s="1">
        <v>52</v>
      </c>
      <c r="X307" s="2">
        <v>45526</v>
      </c>
      <c r="Y307" s="1" t="s">
        <v>584</v>
      </c>
      <c r="Z307" s="1">
        <f t="shared" si="60"/>
        <v>455.03</v>
      </c>
      <c r="AA307" s="1">
        <f t="shared" si="61"/>
        <v>1</v>
      </c>
      <c r="AB307" s="1" t="str">
        <f t="shared" si="62"/>
        <v>BeforeTime</v>
      </c>
      <c r="AC307" s="1">
        <f t="shared" si="63"/>
        <v>403.03</v>
      </c>
      <c r="AD307" s="7">
        <f t="shared" si="64"/>
        <v>0.2</v>
      </c>
      <c r="AE307" s="1">
        <f t="shared" si="65"/>
        <v>80.605999999999995</v>
      </c>
      <c r="AF307" s="1">
        <f t="shared" si="66"/>
        <v>132.60599999999999</v>
      </c>
    </row>
    <row r="308" spans="1:32" ht="14.25" customHeight="1" x14ac:dyDescent="0.3">
      <c r="A308" s="1" t="s">
        <v>887</v>
      </c>
      <c r="B308" s="1" t="s">
        <v>141</v>
      </c>
      <c r="C308" s="1" t="s">
        <v>888</v>
      </c>
      <c r="D308" s="1" t="str">
        <f t="shared" si="54"/>
        <v>Amy Griffin</v>
      </c>
      <c r="E308" s="1">
        <v>29</v>
      </c>
      <c r="F308" s="1" t="s">
        <v>22</v>
      </c>
      <c r="G308" s="1" t="s">
        <v>35</v>
      </c>
      <c r="H308" s="1" t="s">
        <v>889</v>
      </c>
      <c r="I308" s="1" t="s">
        <v>890</v>
      </c>
      <c r="J308" s="1" t="s">
        <v>1457</v>
      </c>
      <c r="K308" s="2">
        <v>45108</v>
      </c>
      <c r="L308" s="2" t="str">
        <f t="shared" si="55"/>
        <v>July</v>
      </c>
      <c r="M308" s="1" t="s">
        <v>1458</v>
      </c>
      <c r="N308" s="1" t="s">
        <v>227</v>
      </c>
      <c r="O308" s="1">
        <v>132.97</v>
      </c>
      <c r="P308" s="1">
        <v>3</v>
      </c>
      <c r="Q308" s="1">
        <f t="shared" si="56"/>
        <v>398.90999999999997</v>
      </c>
      <c r="R308" s="1" t="s">
        <v>51</v>
      </c>
      <c r="S308" s="1">
        <f t="shared" si="57"/>
        <v>59.836499999999994</v>
      </c>
      <c r="T308" s="1">
        <f t="shared" si="58"/>
        <v>339.07349999999997</v>
      </c>
      <c r="U308" s="1">
        <v>3</v>
      </c>
      <c r="V308" s="1">
        <f t="shared" si="59"/>
        <v>375.07349999999997</v>
      </c>
      <c r="W308" s="1">
        <v>36</v>
      </c>
      <c r="X308" s="2">
        <v>45110</v>
      </c>
      <c r="Y308" s="1" t="s">
        <v>1459</v>
      </c>
      <c r="Z308" s="1">
        <f t="shared" si="60"/>
        <v>434.90999999999997</v>
      </c>
      <c r="AA308" s="1">
        <f t="shared" si="61"/>
        <v>2</v>
      </c>
      <c r="AB308" s="1" t="str">
        <f t="shared" si="62"/>
        <v>BeforeTime</v>
      </c>
      <c r="AC308" s="1">
        <f t="shared" si="63"/>
        <v>398.90999999999997</v>
      </c>
      <c r="AD308" s="7">
        <f t="shared" si="64"/>
        <v>0.15</v>
      </c>
      <c r="AE308" s="1">
        <f t="shared" si="65"/>
        <v>59.836499999999994</v>
      </c>
      <c r="AF308" s="1">
        <f t="shared" si="66"/>
        <v>95.836500000000001</v>
      </c>
    </row>
    <row r="309" spans="1:32" ht="14.25" customHeight="1" x14ac:dyDescent="0.3">
      <c r="A309" s="1" t="s">
        <v>521</v>
      </c>
      <c r="B309" s="1" t="s">
        <v>387</v>
      </c>
      <c r="C309" s="1" t="s">
        <v>522</v>
      </c>
      <c r="D309" s="1" t="str">
        <f t="shared" si="54"/>
        <v>Jason Nguyen</v>
      </c>
      <c r="E309" s="1">
        <v>51</v>
      </c>
      <c r="F309" s="1" t="s">
        <v>45</v>
      </c>
      <c r="G309" s="1" t="s">
        <v>133</v>
      </c>
      <c r="H309" s="1" t="s">
        <v>523</v>
      </c>
      <c r="I309" s="1" t="s">
        <v>524</v>
      </c>
      <c r="J309" s="1" t="s">
        <v>1093</v>
      </c>
      <c r="K309" s="2">
        <v>45339</v>
      </c>
      <c r="L309" s="2" t="str">
        <f t="shared" si="55"/>
        <v>February</v>
      </c>
      <c r="M309" s="1" t="s">
        <v>1094</v>
      </c>
      <c r="N309" s="1" t="s">
        <v>301</v>
      </c>
      <c r="O309" s="1">
        <v>129.75</v>
      </c>
      <c r="P309" s="1">
        <v>3</v>
      </c>
      <c r="Q309" s="1">
        <f t="shared" si="56"/>
        <v>389.25</v>
      </c>
      <c r="R309" s="1" t="s">
        <v>51</v>
      </c>
      <c r="S309" s="1">
        <f t="shared" si="57"/>
        <v>58.387499999999996</v>
      </c>
      <c r="T309" s="1">
        <f t="shared" si="58"/>
        <v>330.86250000000001</v>
      </c>
      <c r="U309" s="1">
        <v>5</v>
      </c>
      <c r="V309" s="1">
        <f t="shared" si="59"/>
        <v>367.86250000000001</v>
      </c>
      <c r="W309" s="1">
        <v>37</v>
      </c>
      <c r="X309" s="2">
        <v>45341</v>
      </c>
      <c r="Y309" s="1" t="s">
        <v>1095</v>
      </c>
      <c r="Z309" s="1">
        <f t="shared" si="60"/>
        <v>426.25</v>
      </c>
      <c r="AA309" s="1">
        <f t="shared" si="61"/>
        <v>2</v>
      </c>
      <c r="AB309" s="1" t="str">
        <f t="shared" si="62"/>
        <v>BeforeTime</v>
      </c>
      <c r="AC309" s="1">
        <f t="shared" si="63"/>
        <v>389.25</v>
      </c>
      <c r="AD309" s="7">
        <f t="shared" si="64"/>
        <v>0.15</v>
      </c>
      <c r="AE309" s="1">
        <f t="shared" si="65"/>
        <v>58.387499999999996</v>
      </c>
      <c r="AF309" s="1">
        <f t="shared" si="66"/>
        <v>95.387499999999989</v>
      </c>
    </row>
    <row r="310" spans="1:32" ht="14.25" customHeight="1" x14ac:dyDescent="0.3">
      <c r="A310" s="1" t="s">
        <v>326</v>
      </c>
      <c r="B310" s="1" t="s">
        <v>327</v>
      </c>
      <c r="C310" s="1" t="s">
        <v>328</v>
      </c>
      <c r="D310" s="1" t="str">
        <f t="shared" si="54"/>
        <v>Julie Meyer</v>
      </c>
      <c r="E310" s="1">
        <v>23</v>
      </c>
      <c r="F310" s="1" t="s">
        <v>22</v>
      </c>
      <c r="G310" s="1" t="s">
        <v>23</v>
      </c>
      <c r="H310" s="1" t="s">
        <v>329</v>
      </c>
      <c r="I310" s="1" t="s">
        <v>330</v>
      </c>
      <c r="J310" s="1" t="s">
        <v>331</v>
      </c>
      <c r="K310" s="2">
        <v>45574</v>
      </c>
      <c r="L310" s="2" t="str">
        <f t="shared" si="55"/>
        <v>October</v>
      </c>
      <c r="M310" s="1" t="s">
        <v>332</v>
      </c>
      <c r="N310" s="1" t="s">
        <v>333</v>
      </c>
      <c r="O310" s="1">
        <v>77.84</v>
      </c>
      <c r="P310" s="1">
        <v>5</v>
      </c>
      <c r="Q310" s="1">
        <f t="shared" si="56"/>
        <v>389.20000000000005</v>
      </c>
      <c r="R310" s="1" t="s">
        <v>56</v>
      </c>
      <c r="S310" s="1">
        <f t="shared" si="57"/>
        <v>0</v>
      </c>
      <c r="T310" s="1">
        <f t="shared" si="58"/>
        <v>389.20000000000005</v>
      </c>
      <c r="U310" s="1">
        <v>4</v>
      </c>
      <c r="V310" s="1">
        <f t="shared" si="59"/>
        <v>436.20000000000005</v>
      </c>
      <c r="W310" s="1">
        <v>47</v>
      </c>
      <c r="X310" s="2">
        <v>45575</v>
      </c>
      <c r="Y310" s="1" t="s">
        <v>334</v>
      </c>
      <c r="Z310" s="1">
        <f t="shared" si="60"/>
        <v>436.20000000000005</v>
      </c>
      <c r="AA310" s="1">
        <f t="shared" si="61"/>
        <v>1</v>
      </c>
      <c r="AB310" s="1" t="str">
        <f t="shared" si="62"/>
        <v>BeforeTime</v>
      </c>
      <c r="AC310" s="1">
        <f t="shared" si="63"/>
        <v>389.20000000000005</v>
      </c>
      <c r="AD310" s="7">
        <f t="shared" si="64"/>
        <v>0</v>
      </c>
      <c r="AE310" s="1">
        <f t="shared" si="65"/>
        <v>0</v>
      </c>
      <c r="AF310" s="1">
        <f t="shared" si="66"/>
        <v>0</v>
      </c>
    </row>
    <row r="311" spans="1:32" ht="14.25" customHeight="1" x14ac:dyDescent="0.3">
      <c r="A311" s="1" t="s">
        <v>539</v>
      </c>
      <c r="B311" s="1" t="s">
        <v>540</v>
      </c>
      <c r="C311" s="1" t="s">
        <v>541</v>
      </c>
      <c r="D311" s="1" t="str">
        <f t="shared" si="54"/>
        <v>Jodi Whitney</v>
      </c>
      <c r="E311" s="1">
        <v>33</v>
      </c>
      <c r="F311" s="1" t="s">
        <v>45</v>
      </c>
      <c r="G311" s="1" t="s">
        <v>161</v>
      </c>
      <c r="H311" s="1" t="s">
        <v>542</v>
      </c>
      <c r="I311" s="1" t="s">
        <v>543</v>
      </c>
      <c r="J311" s="1" t="s">
        <v>894</v>
      </c>
      <c r="K311" s="2">
        <v>45200</v>
      </c>
      <c r="L311" s="2" t="str">
        <f t="shared" si="55"/>
        <v>October</v>
      </c>
      <c r="M311" s="1" t="s">
        <v>895</v>
      </c>
      <c r="N311" s="1" t="s">
        <v>333</v>
      </c>
      <c r="O311" s="1">
        <v>77.84</v>
      </c>
      <c r="P311" s="1">
        <v>5</v>
      </c>
      <c r="Q311" s="1">
        <f t="shared" si="56"/>
        <v>389.20000000000005</v>
      </c>
      <c r="R311" s="1" t="s">
        <v>89</v>
      </c>
      <c r="S311" s="1">
        <f t="shared" si="57"/>
        <v>38.920000000000009</v>
      </c>
      <c r="T311" s="1">
        <f t="shared" si="58"/>
        <v>350.28000000000003</v>
      </c>
      <c r="U311" s="1">
        <v>1</v>
      </c>
      <c r="V311" s="1">
        <f t="shared" si="59"/>
        <v>391.28000000000003</v>
      </c>
      <c r="W311" s="1">
        <v>41</v>
      </c>
      <c r="X311" s="2">
        <v>45206</v>
      </c>
      <c r="Y311" s="1" t="s">
        <v>896</v>
      </c>
      <c r="Z311" s="1">
        <f t="shared" si="60"/>
        <v>430.20000000000005</v>
      </c>
      <c r="AA311" s="1">
        <f t="shared" si="61"/>
        <v>6</v>
      </c>
      <c r="AB311" s="1" t="str">
        <f t="shared" si="62"/>
        <v>Late</v>
      </c>
      <c r="AC311" s="1">
        <f t="shared" si="63"/>
        <v>389.20000000000005</v>
      </c>
      <c r="AD311" s="7">
        <f t="shared" si="64"/>
        <v>0.1</v>
      </c>
      <c r="AE311" s="1">
        <f t="shared" si="65"/>
        <v>38.920000000000009</v>
      </c>
      <c r="AF311" s="1">
        <f t="shared" si="66"/>
        <v>79.920000000000016</v>
      </c>
    </row>
    <row r="312" spans="1:32" ht="14.25" customHeight="1" x14ac:dyDescent="0.3">
      <c r="A312" s="1" t="s">
        <v>1899</v>
      </c>
      <c r="B312" s="1" t="s">
        <v>1900</v>
      </c>
      <c r="C312" s="1" t="s">
        <v>1901</v>
      </c>
      <c r="D312" s="1" t="str">
        <f t="shared" si="54"/>
        <v>Janice Gordon</v>
      </c>
      <c r="E312" s="1">
        <v>43</v>
      </c>
      <c r="F312" s="1" t="s">
        <v>22</v>
      </c>
      <c r="G312" s="1" t="s">
        <v>35</v>
      </c>
      <c r="H312" s="1" t="s">
        <v>1902</v>
      </c>
      <c r="I312" s="1" t="s">
        <v>1903</v>
      </c>
      <c r="J312" s="1" t="s">
        <v>1966</v>
      </c>
      <c r="K312" s="2">
        <v>45012</v>
      </c>
      <c r="L312" s="2" t="str">
        <f t="shared" si="55"/>
        <v>March</v>
      </c>
      <c r="M312" s="1" t="s">
        <v>1967</v>
      </c>
      <c r="N312" s="1" t="s">
        <v>333</v>
      </c>
      <c r="O312" s="1">
        <v>77.84</v>
      </c>
      <c r="P312" s="1">
        <v>5</v>
      </c>
      <c r="Q312" s="1">
        <f t="shared" si="56"/>
        <v>389.20000000000005</v>
      </c>
      <c r="R312" s="1" t="s">
        <v>89</v>
      </c>
      <c r="S312" s="1">
        <f t="shared" si="57"/>
        <v>38.920000000000009</v>
      </c>
      <c r="T312" s="1">
        <f t="shared" si="58"/>
        <v>350.28000000000003</v>
      </c>
      <c r="U312" s="1">
        <v>2</v>
      </c>
      <c r="V312" s="1">
        <f t="shared" si="59"/>
        <v>403.28000000000003</v>
      </c>
      <c r="W312" s="1">
        <v>53</v>
      </c>
      <c r="X312" s="2">
        <v>45017</v>
      </c>
      <c r="Y312" s="1" t="s">
        <v>1968</v>
      </c>
      <c r="Z312" s="1">
        <f t="shared" si="60"/>
        <v>442.20000000000005</v>
      </c>
      <c r="AA312" s="1">
        <f t="shared" si="61"/>
        <v>5</v>
      </c>
      <c r="AB312" s="1" t="str">
        <f t="shared" si="62"/>
        <v>Late</v>
      </c>
      <c r="AC312" s="1">
        <f t="shared" si="63"/>
        <v>389.20000000000005</v>
      </c>
      <c r="AD312" s="7">
        <f t="shared" si="64"/>
        <v>0.1</v>
      </c>
      <c r="AE312" s="1">
        <f t="shared" si="65"/>
        <v>38.920000000000009</v>
      </c>
      <c r="AF312" s="1">
        <f t="shared" si="66"/>
        <v>91.920000000000016</v>
      </c>
    </row>
    <row r="313" spans="1:32" ht="14.25" customHeight="1" x14ac:dyDescent="0.3">
      <c r="A313" s="1" t="s">
        <v>112</v>
      </c>
      <c r="B313" s="1" t="s">
        <v>113</v>
      </c>
      <c r="C313" s="1" t="s">
        <v>114</v>
      </c>
      <c r="D313" s="1" t="str">
        <f t="shared" si="54"/>
        <v>Bobby Forbes</v>
      </c>
      <c r="E313" s="1">
        <v>20</v>
      </c>
      <c r="F313" s="1" t="s">
        <v>22</v>
      </c>
      <c r="G313" s="1" t="s">
        <v>83</v>
      </c>
      <c r="H313" s="1" t="s">
        <v>115</v>
      </c>
      <c r="I313" s="1" t="s">
        <v>116</v>
      </c>
      <c r="J313" s="1" t="s">
        <v>241</v>
      </c>
      <c r="K313" s="2">
        <v>45066</v>
      </c>
      <c r="L313" s="2" t="str">
        <f t="shared" si="55"/>
        <v>May</v>
      </c>
      <c r="M313" s="1" t="s">
        <v>242</v>
      </c>
      <c r="N313" s="1" t="s">
        <v>243</v>
      </c>
      <c r="O313" s="1">
        <v>128.13999999999999</v>
      </c>
      <c r="P313" s="1">
        <v>3</v>
      </c>
      <c r="Q313" s="1">
        <f t="shared" si="56"/>
        <v>384.41999999999996</v>
      </c>
      <c r="R313" s="1" t="s">
        <v>29</v>
      </c>
      <c r="S313" s="1">
        <f t="shared" si="57"/>
        <v>30.753599999999999</v>
      </c>
      <c r="T313" s="1">
        <f t="shared" si="58"/>
        <v>353.66639999999995</v>
      </c>
      <c r="U313" s="1">
        <v>4</v>
      </c>
      <c r="V313" s="1">
        <f t="shared" si="59"/>
        <v>423.66639999999995</v>
      </c>
      <c r="W313" s="1">
        <v>70</v>
      </c>
      <c r="X313" s="2">
        <v>45069</v>
      </c>
      <c r="Y313" s="1" t="s">
        <v>244</v>
      </c>
      <c r="Z313" s="1">
        <f t="shared" si="60"/>
        <v>454.41999999999996</v>
      </c>
      <c r="AA313" s="1">
        <f t="shared" si="61"/>
        <v>3</v>
      </c>
      <c r="AB313" s="1" t="str">
        <f t="shared" si="62"/>
        <v>BeforeTime</v>
      </c>
      <c r="AC313" s="1">
        <f t="shared" si="63"/>
        <v>384.41999999999996</v>
      </c>
      <c r="AD313" s="7">
        <f t="shared" si="64"/>
        <v>0.08</v>
      </c>
      <c r="AE313" s="1">
        <f t="shared" si="65"/>
        <v>30.753599999999999</v>
      </c>
      <c r="AF313" s="1">
        <f t="shared" si="66"/>
        <v>100.75360000000001</v>
      </c>
    </row>
    <row r="314" spans="1:32" ht="14.25" customHeight="1" x14ac:dyDescent="0.3">
      <c r="A314" s="1" t="s">
        <v>632</v>
      </c>
      <c r="B314" s="1" t="s">
        <v>141</v>
      </c>
      <c r="C314" s="1" t="s">
        <v>633</v>
      </c>
      <c r="D314" s="1" t="str">
        <f t="shared" si="54"/>
        <v>Amy Ellis</v>
      </c>
      <c r="E314" s="1">
        <v>44</v>
      </c>
      <c r="F314" s="1" t="s">
        <v>45</v>
      </c>
      <c r="G314" s="1" t="s">
        <v>83</v>
      </c>
      <c r="H314" s="1" t="s">
        <v>634</v>
      </c>
      <c r="I314" s="1" t="s">
        <v>635</v>
      </c>
      <c r="J314" s="1" t="s">
        <v>1674</v>
      </c>
      <c r="K314" s="2">
        <v>45264</v>
      </c>
      <c r="L314" s="2" t="str">
        <f t="shared" si="55"/>
        <v>December</v>
      </c>
      <c r="M314" s="1" t="s">
        <v>1675</v>
      </c>
      <c r="N314" s="1" t="s">
        <v>243</v>
      </c>
      <c r="O314" s="1">
        <v>128.13999999999999</v>
      </c>
      <c r="P314" s="1">
        <v>3</v>
      </c>
      <c r="Q314" s="1">
        <f t="shared" si="56"/>
        <v>384.41999999999996</v>
      </c>
      <c r="R314" s="1" t="s">
        <v>78</v>
      </c>
      <c r="S314" s="1">
        <f t="shared" si="57"/>
        <v>76.884</v>
      </c>
      <c r="T314" s="1">
        <f t="shared" si="58"/>
        <v>307.53599999999994</v>
      </c>
      <c r="U314" s="1">
        <v>2</v>
      </c>
      <c r="V314" s="1">
        <f t="shared" si="59"/>
        <v>356.53599999999994</v>
      </c>
      <c r="W314" s="1">
        <v>49</v>
      </c>
      <c r="X314" s="2">
        <v>45270</v>
      </c>
      <c r="Y314" s="1" t="s">
        <v>1676</v>
      </c>
      <c r="Z314" s="1">
        <f t="shared" si="60"/>
        <v>433.41999999999996</v>
      </c>
      <c r="AA314" s="1">
        <f t="shared" si="61"/>
        <v>6</v>
      </c>
      <c r="AB314" s="1" t="str">
        <f t="shared" si="62"/>
        <v>Late</v>
      </c>
      <c r="AC314" s="1">
        <f t="shared" si="63"/>
        <v>384.41999999999996</v>
      </c>
      <c r="AD314" s="7">
        <f t="shared" si="64"/>
        <v>0.2</v>
      </c>
      <c r="AE314" s="1">
        <f t="shared" si="65"/>
        <v>76.884</v>
      </c>
      <c r="AF314" s="1">
        <f t="shared" si="66"/>
        <v>125.884</v>
      </c>
    </row>
    <row r="315" spans="1:32" ht="14.25" customHeight="1" x14ac:dyDescent="0.3">
      <c r="A315" s="1" t="s">
        <v>476</v>
      </c>
      <c r="B315" s="1" t="s">
        <v>477</v>
      </c>
      <c r="C315" s="1" t="s">
        <v>123</v>
      </c>
      <c r="D315" s="1" t="str">
        <f t="shared" si="54"/>
        <v>Brittany Stewart</v>
      </c>
      <c r="E315" s="1">
        <v>68</v>
      </c>
      <c r="F315" s="1" t="s">
        <v>45</v>
      </c>
      <c r="G315" s="1" t="s">
        <v>213</v>
      </c>
      <c r="H315" s="1" t="s">
        <v>478</v>
      </c>
      <c r="I315" s="1" t="s">
        <v>479</v>
      </c>
      <c r="J315" s="1" t="s">
        <v>1992</v>
      </c>
      <c r="K315" s="2">
        <v>45072</v>
      </c>
      <c r="L315" s="2" t="str">
        <f t="shared" si="55"/>
        <v>May</v>
      </c>
      <c r="M315" s="1" t="s">
        <v>1993</v>
      </c>
      <c r="N315" s="1" t="s">
        <v>243</v>
      </c>
      <c r="O315" s="1">
        <v>128.13999999999999</v>
      </c>
      <c r="P315" s="1">
        <v>3</v>
      </c>
      <c r="Q315" s="1">
        <f t="shared" si="56"/>
        <v>384.41999999999996</v>
      </c>
      <c r="R315" s="1" t="s">
        <v>78</v>
      </c>
      <c r="S315" s="1">
        <f t="shared" si="57"/>
        <v>76.884</v>
      </c>
      <c r="T315" s="1">
        <f t="shared" si="58"/>
        <v>307.53599999999994</v>
      </c>
      <c r="U315" s="1">
        <v>2</v>
      </c>
      <c r="V315" s="1">
        <f t="shared" si="59"/>
        <v>366.53599999999994</v>
      </c>
      <c r="W315" s="1">
        <v>59</v>
      </c>
      <c r="X315" s="2">
        <v>45076</v>
      </c>
      <c r="Y315" s="1" t="s">
        <v>1994</v>
      </c>
      <c r="Z315" s="1">
        <f t="shared" si="60"/>
        <v>443.41999999999996</v>
      </c>
      <c r="AA315" s="1">
        <f t="shared" si="61"/>
        <v>4</v>
      </c>
      <c r="AB315" s="1" t="str">
        <f t="shared" si="62"/>
        <v>Late</v>
      </c>
      <c r="AC315" s="1">
        <f t="shared" si="63"/>
        <v>384.41999999999996</v>
      </c>
      <c r="AD315" s="7">
        <f t="shared" si="64"/>
        <v>0.2</v>
      </c>
      <c r="AE315" s="1">
        <f t="shared" si="65"/>
        <v>76.884</v>
      </c>
      <c r="AF315" s="1">
        <f t="shared" si="66"/>
        <v>135.88400000000001</v>
      </c>
    </row>
    <row r="316" spans="1:32" ht="14.25" customHeight="1" x14ac:dyDescent="0.3">
      <c r="A316" s="1" t="s">
        <v>1720</v>
      </c>
      <c r="B316" s="1" t="s">
        <v>1721</v>
      </c>
      <c r="C316" s="1" t="s">
        <v>361</v>
      </c>
      <c r="D316" s="1" t="str">
        <f t="shared" si="54"/>
        <v>Katie Hicks</v>
      </c>
      <c r="E316" s="1">
        <v>34</v>
      </c>
      <c r="F316" s="1" t="s">
        <v>45</v>
      </c>
      <c r="G316" s="1" t="s">
        <v>152</v>
      </c>
      <c r="H316" s="1" t="s">
        <v>1722</v>
      </c>
      <c r="I316" s="1" t="s">
        <v>1723</v>
      </c>
      <c r="J316" s="1" t="s">
        <v>2037</v>
      </c>
      <c r="K316" s="2">
        <v>45490</v>
      </c>
      <c r="L316" s="2" t="str">
        <f t="shared" si="55"/>
        <v>July</v>
      </c>
      <c r="M316" s="1" t="s">
        <v>2038</v>
      </c>
      <c r="N316" s="1" t="s">
        <v>243</v>
      </c>
      <c r="O316" s="1">
        <v>128.13999999999999</v>
      </c>
      <c r="P316" s="1">
        <v>3</v>
      </c>
      <c r="Q316" s="1">
        <f t="shared" si="56"/>
        <v>384.41999999999996</v>
      </c>
      <c r="R316" s="1" t="s">
        <v>29</v>
      </c>
      <c r="S316" s="1">
        <f t="shared" si="57"/>
        <v>30.753599999999999</v>
      </c>
      <c r="T316" s="1">
        <f t="shared" si="58"/>
        <v>353.66639999999995</v>
      </c>
      <c r="U316" s="1">
        <v>5</v>
      </c>
      <c r="V316" s="1">
        <f t="shared" si="59"/>
        <v>402.66639999999995</v>
      </c>
      <c r="W316" s="1">
        <v>49</v>
      </c>
      <c r="X316" s="2">
        <v>45495</v>
      </c>
      <c r="Y316" s="1" t="s">
        <v>2039</v>
      </c>
      <c r="Z316" s="1">
        <f t="shared" si="60"/>
        <v>433.41999999999996</v>
      </c>
      <c r="AA316" s="1">
        <f t="shared" si="61"/>
        <v>5</v>
      </c>
      <c r="AB316" s="1" t="str">
        <f t="shared" si="62"/>
        <v>Intime</v>
      </c>
      <c r="AC316" s="1">
        <f t="shared" si="63"/>
        <v>384.41999999999996</v>
      </c>
      <c r="AD316" s="7">
        <f t="shared" si="64"/>
        <v>0.08</v>
      </c>
      <c r="AE316" s="1">
        <f t="shared" si="65"/>
        <v>30.753599999999999</v>
      </c>
      <c r="AF316" s="1">
        <f t="shared" si="66"/>
        <v>79.753600000000006</v>
      </c>
    </row>
    <row r="317" spans="1:32" ht="14.25" customHeight="1" x14ac:dyDescent="0.3">
      <c r="A317" s="1" t="s">
        <v>918</v>
      </c>
      <c r="B317" s="1" t="s">
        <v>919</v>
      </c>
      <c r="C317" s="1" t="s">
        <v>920</v>
      </c>
      <c r="D317" s="1" t="str">
        <f t="shared" si="54"/>
        <v>Rachael Robinson</v>
      </c>
      <c r="E317" s="1">
        <v>24</v>
      </c>
      <c r="F317" s="1" t="s">
        <v>45</v>
      </c>
      <c r="G317" s="1" t="s">
        <v>213</v>
      </c>
      <c r="H317" s="1" t="s">
        <v>921</v>
      </c>
      <c r="I317" s="1" t="s">
        <v>922</v>
      </c>
      <c r="J317" s="1" t="s">
        <v>1252</v>
      </c>
      <c r="K317" s="2">
        <v>45668</v>
      </c>
      <c r="L317" s="2" t="str">
        <f t="shared" si="55"/>
        <v>January</v>
      </c>
      <c r="M317" s="1" t="s">
        <v>1253</v>
      </c>
      <c r="N317" s="1" t="s">
        <v>741</v>
      </c>
      <c r="O317" s="1">
        <v>381.73</v>
      </c>
      <c r="P317" s="1">
        <v>1</v>
      </c>
      <c r="Q317" s="1">
        <f t="shared" si="56"/>
        <v>381.73</v>
      </c>
      <c r="R317" s="1" t="s">
        <v>29</v>
      </c>
      <c r="S317" s="1">
        <f t="shared" si="57"/>
        <v>30.538400000000003</v>
      </c>
      <c r="T317" s="1">
        <f t="shared" si="58"/>
        <v>351.19159999999999</v>
      </c>
      <c r="U317" s="1">
        <v>3</v>
      </c>
      <c r="V317" s="1">
        <f t="shared" si="59"/>
        <v>387.19159999999999</v>
      </c>
      <c r="W317" s="1">
        <v>36</v>
      </c>
      <c r="X317" s="2">
        <v>45675</v>
      </c>
      <c r="Y317" s="1" t="s">
        <v>1254</v>
      </c>
      <c r="Z317" s="1">
        <f t="shared" si="60"/>
        <v>417.73</v>
      </c>
      <c r="AA317" s="1">
        <f t="shared" si="61"/>
        <v>7</v>
      </c>
      <c r="AB317" s="1" t="str">
        <f t="shared" si="62"/>
        <v>Late</v>
      </c>
      <c r="AC317" s="1">
        <f t="shared" si="63"/>
        <v>381.73</v>
      </c>
      <c r="AD317" s="7">
        <f t="shared" si="64"/>
        <v>0.08</v>
      </c>
      <c r="AE317" s="1">
        <f t="shared" si="65"/>
        <v>30.538400000000003</v>
      </c>
      <c r="AF317" s="1">
        <f t="shared" si="66"/>
        <v>66.538399999999996</v>
      </c>
    </row>
    <row r="318" spans="1:32" ht="14.25" customHeight="1" x14ac:dyDescent="0.3">
      <c r="A318" s="1" t="s">
        <v>568</v>
      </c>
      <c r="B318" s="1" t="s">
        <v>249</v>
      </c>
      <c r="C318" s="1" t="s">
        <v>569</v>
      </c>
      <c r="D318" s="1" t="str">
        <f t="shared" si="54"/>
        <v>Ashley Romero</v>
      </c>
      <c r="E318" s="1">
        <v>35</v>
      </c>
      <c r="F318" s="1" t="s">
        <v>22</v>
      </c>
      <c r="G318" s="1" t="s">
        <v>23</v>
      </c>
      <c r="H318" s="1" t="s">
        <v>570</v>
      </c>
      <c r="I318" s="1" t="s">
        <v>571</v>
      </c>
      <c r="J318" s="1" t="s">
        <v>572</v>
      </c>
      <c r="K318" s="2">
        <v>45054</v>
      </c>
      <c r="L318" s="2" t="str">
        <f t="shared" si="55"/>
        <v>May</v>
      </c>
      <c r="M318" s="1" t="s">
        <v>573</v>
      </c>
      <c r="N318" s="1" t="s">
        <v>235</v>
      </c>
      <c r="O318" s="1">
        <v>126.19</v>
      </c>
      <c r="P318" s="1">
        <v>3</v>
      </c>
      <c r="Q318" s="1">
        <f t="shared" si="56"/>
        <v>378.57</v>
      </c>
      <c r="R318" s="1" t="s">
        <v>56</v>
      </c>
      <c r="S318" s="1">
        <f t="shared" si="57"/>
        <v>0</v>
      </c>
      <c r="T318" s="1">
        <f t="shared" si="58"/>
        <v>378.57</v>
      </c>
      <c r="U318" s="1">
        <v>5</v>
      </c>
      <c r="V318" s="1">
        <f t="shared" si="59"/>
        <v>418.57</v>
      </c>
      <c r="W318" s="1">
        <v>40</v>
      </c>
      <c r="X318" s="2">
        <v>45058</v>
      </c>
      <c r="Y318" s="1" t="s">
        <v>574</v>
      </c>
      <c r="Z318" s="1">
        <f t="shared" si="60"/>
        <v>418.57</v>
      </c>
      <c r="AA318" s="1">
        <f t="shared" si="61"/>
        <v>4</v>
      </c>
      <c r="AB318" s="1" t="str">
        <f t="shared" si="62"/>
        <v>BeforeTime</v>
      </c>
      <c r="AC318" s="1">
        <f t="shared" si="63"/>
        <v>378.57</v>
      </c>
      <c r="AD318" s="7">
        <f t="shared" si="64"/>
        <v>0</v>
      </c>
      <c r="AE318" s="1">
        <f t="shared" si="65"/>
        <v>0</v>
      </c>
      <c r="AF318" s="1">
        <f t="shared" si="66"/>
        <v>0</v>
      </c>
    </row>
    <row r="319" spans="1:32" ht="14.25" customHeight="1" x14ac:dyDescent="0.3">
      <c r="A319" s="1" t="s">
        <v>177</v>
      </c>
      <c r="B319" s="1" t="s">
        <v>178</v>
      </c>
      <c r="C319" s="1" t="s">
        <v>179</v>
      </c>
      <c r="D319" s="1" t="str">
        <f t="shared" si="54"/>
        <v>Mallory Mitchell</v>
      </c>
      <c r="E319" s="1">
        <v>42</v>
      </c>
      <c r="F319" s="1" t="s">
        <v>34</v>
      </c>
      <c r="G319" s="1" t="s">
        <v>161</v>
      </c>
      <c r="H319" s="1" t="s">
        <v>180</v>
      </c>
      <c r="I319" s="1" t="s">
        <v>181</v>
      </c>
      <c r="J319" s="1" t="s">
        <v>1005</v>
      </c>
      <c r="K319" s="2">
        <v>45455</v>
      </c>
      <c r="L319" s="2" t="str">
        <f t="shared" si="55"/>
        <v>June</v>
      </c>
      <c r="M319" s="1" t="s">
        <v>1006</v>
      </c>
      <c r="N319" s="1" t="s">
        <v>337</v>
      </c>
      <c r="O319" s="1">
        <v>372.62</v>
      </c>
      <c r="P319" s="1">
        <v>1</v>
      </c>
      <c r="Q319" s="1">
        <f t="shared" si="56"/>
        <v>372.62</v>
      </c>
      <c r="R319" s="1" t="s">
        <v>51</v>
      </c>
      <c r="S319" s="1">
        <f t="shared" si="57"/>
        <v>55.893000000000001</v>
      </c>
      <c r="T319" s="1">
        <f t="shared" si="58"/>
        <v>316.72699999999998</v>
      </c>
      <c r="U319" s="1">
        <v>3</v>
      </c>
      <c r="V319" s="1">
        <f t="shared" si="59"/>
        <v>351.72699999999998</v>
      </c>
      <c r="W319" s="1">
        <v>35</v>
      </c>
      <c r="X319" s="2">
        <v>45458</v>
      </c>
      <c r="Y319" s="1" t="s">
        <v>1007</v>
      </c>
      <c r="Z319" s="1">
        <f t="shared" si="60"/>
        <v>407.62</v>
      </c>
      <c r="AA319" s="1">
        <f t="shared" si="61"/>
        <v>3</v>
      </c>
      <c r="AB319" s="1" t="str">
        <f t="shared" si="62"/>
        <v>Intime</v>
      </c>
      <c r="AC319" s="1">
        <f t="shared" si="63"/>
        <v>372.62</v>
      </c>
      <c r="AD319" s="7">
        <f t="shared" si="64"/>
        <v>0.15</v>
      </c>
      <c r="AE319" s="1">
        <f t="shared" si="65"/>
        <v>55.893000000000001</v>
      </c>
      <c r="AF319" s="1">
        <f t="shared" si="66"/>
        <v>90.893000000000001</v>
      </c>
    </row>
    <row r="320" spans="1:32" ht="14.25" customHeight="1" x14ac:dyDescent="0.3">
      <c r="A320" s="1" t="s">
        <v>294</v>
      </c>
      <c r="B320" s="1" t="s">
        <v>295</v>
      </c>
      <c r="C320" s="1" t="s">
        <v>296</v>
      </c>
      <c r="D320" s="1" t="str">
        <f t="shared" si="54"/>
        <v>Valerie Carr</v>
      </c>
      <c r="E320" s="1">
        <v>26</v>
      </c>
      <c r="F320" s="1" t="s">
        <v>45</v>
      </c>
      <c r="G320" s="1" t="s">
        <v>161</v>
      </c>
      <c r="H320" s="1" t="s">
        <v>297</v>
      </c>
      <c r="I320" s="1" t="s">
        <v>298</v>
      </c>
      <c r="J320" s="1" t="s">
        <v>1137</v>
      </c>
      <c r="K320" s="2">
        <v>45537</v>
      </c>
      <c r="L320" s="2" t="str">
        <f t="shared" si="55"/>
        <v>September</v>
      </c>
      <c r="M320" s="1" t="s">
        <v>1138</v>
      </c>
      <c r="N320" s="1" t="s">
        <v>337</v>
      </c>
      <c r="O320" s="1">
        <v>372.62</v>
      </c>
      <c r="P320" s="1">
        <v>1</v>
      </c>
      <c r="Q320" s="1">
        <f t="shared" si="56"/>
        <v>372.62</v>
      </c>
      <c r="R320" s="1" t="s">
        <v>89</v>
      </c>
      <c r="S320" s="1">
        <f t="shared" si="57"/>
        <v>37.262</v>
      </c>
      <c r="T320" s="1">
        <f t="shared" si="58"/>
        <v>335.358</v>
      </c>
      <c r="U320" s="1">
        <v>4</v>
      </c>
      <c r="V320" s="1">
        <f t="shared" si="59"/>
        <v>371.358</v>
      </c>
      <c r="W320" s="1">
        <v>36</v>
      </c>
      <c r="X320" s="2">
        <v>45541</v>
      </c>
      <c r="Y320" s="1" t="s">
        <v>1139</v>
      </c>
      <c r="Z320" s="1">
        <f t="shared" si="60"/>
        <v>408.62</v>
      </c>
      <c r="AA320" s="1">
        <f t="shared" si="61"/>
        <v>4</v>
      </c>
      <c r="AB320" s="1" t="str">
        <f t="shared" si="62"/>
        <v>Intime</v>
      </c>
      <c r="AC320" s="1">
        <f t="shared" si="63"/>
        <v>372.62</v>
      </c>
      <c r="AD320" s="7">
        <f t="shared" si="64"/>
        <v>0.1</v>
      </c>
      <c r="AE320" s="1">
        <f t="shared" si="65"/>
        <v>37.262</v>
      </c>
      <c r="AF320" s="1">
        <f t="shared" si="66"/>
        <v>73.262</v>
      </c>
    </row>
    <row r="321" spans="1:32" ht="14.25" customHeight="1" x14ac:dyDescent="0.3">
      <c r="A321" s="1" t="s">
        <v>1231</v>
      </c>
      <c r="B321" s="1" t="s">
        <v>1232</v>
      </c>
      <c r="C321" s="1" t="s">
        <v>1233</v>
      </c>
      <c r="D321" s="1" t="str">
        <f t="shared" si="54"/>
        <v>Hannah Gutierrez</v>
      </c>
      <c r="E321" s="1">
        <v>55</v>
      </c>
      <c r="F321" s="1" t="s">
        <v>34</v>
      </c>
      <c r="G321" s="1" t="s">
        <v>152</v>
      </c>
      <c r="H321" s="1" t="s">
        <v>1234</v>
      </c>
      <c r="I321" s="1" t="s">
        <v>1235</v>
      </c>
      <c r="J321" s="1" t="s">
        <v>1402</v>
      </c>
      <c r="K321" s="2">
        <v>45157</v>
      </c>
      <c r="L321" s="2" t="str">
        <f t="shared" si="55"/>
        <v>August</v>
      </c>
      <c r="M321" s="1" t="s">
        <v>1403</v>
      </c>
      <c r="N321" s="1" t="s">
        <v>337</v>
      </c>
      <c r="O321" s="1">
        <v>372.62</v>
      </c>
      <c r="P321" s="1">
        <v>1</v>
      </c>
      <c r="Q321" s="1">
        <f t="shared" si="56"/>
        <v>372.62</v>
      </c>
      <c r="R321" s="1" t="s">
        <v>89</v>
      </c>
      <c r="S321" s="1">
        <f t="shared" si="57"/>
        <v>37.262</v>
      </c>
      <c r="T321" s="1">
        <f t="shared" si="58"/>
        <v>335.358</v>
      </c>
      <c r="U321" s="1">
        <v>5</v>
      </c>
      <c r="V321" s="1">
        <f t="shared" si="59"/>
        <v>380.358</v>
      </c>
      <c r="W321" s="1">
        <v>45</v>
      </c>
      <c r="X321" s="2">
        <v>45164</v>
      </c>
      <c r="Y321" s="1" t="s">
        <v>1404</v>
      </c>
      <c r="Z321" s="1">
        <f t="shared" si="60"/>
        <v>417.62</v>
      </c>
      <c r="AA321" s="1">
        <f t="shared" si="61"/>
        <v>7</v>
      </c>
      <c r="AB321" s="1" t="str">
        <f t="shared" si="62"/>
        <v>Late</v>
      </c>
      <c r="AC321" s="1">
        <f t="shared" si="63"/>
        <v>372.62</v>
      </c>
      <c r="AD321" s="7">
        <f t="shared" si="64"/>
        <v>0.1</v>
      </c>
      <c r="AE321" s="1">
        <f t="shared" si="65"/>
        <v>37.262</v>
      </c>
      <c r="AF321" s="1">
        <f t="shared" si="66"/>
        <v>82.262</v>
      </c>
    </row>
    <row r="322" spans="1:32" ht="14.25" customHeight="1" x14ac:dyDescent="0.3">
      <c r="A322" s="1" t="s">
        <v>31</v>
      </c>
      <c r="B322" s="1" t="s">
        <v>32</v>
      </c>
      <c r="C322" s="1" t="s">
        <v>33</v>
      </c>
      <c r="D322" s="1" t="str">
        <f t="shared" ref="D322:D385" si="67">_xlfn.CONCAT(B322," ",C322)</f>
        <v>Anthony Thomas</v>
      </c>
      <c r="E322" s="1">
        <v>53</v>
      </c>
      <c r="F322" s="1" t="s">
        <v>34</v>
      </c>
      <c r="G322" s="1" t="s">
        <v>35</v>
      </c>
      <c r="H322" s="1" t="s">
        <v>36</v>
      </c>
      <c r="I322" s="1" t="s">
        <v>37</v>
      </c>
      <c r="J322" s="1" t="s">
        <v>1679</v>
      </c>
      <c r="K322" s="2">
        <v>45469</v>
      </c>
      <c r="L322" s="2" t="str">
        <f t="shared" ref="L322:L385" si="68">TEXT(K322,"mmmm")</f>
        <v>June</v>
      </c>
      <c r="M322" s="1" t="s">
        <v>1680</v>
      </c>
      <c r="N322" s="1" t="s">
        <v>337</v>
      </c>
      <c r="O322" s="1">
        <v>372.62</v>
      </c>
      <c r="P322" s="1">
        <v>1</v>
      </c>
      <c r="Q322" s="1">
        <f t="shared" ref="Q322:Q385" si="69">O322*P322</f>
        <v>372.62</v>
      </c>
      <c r="R322" s="1" t="s">
        <v>89</v>
      </c>
      <c r="S322" s="1">
        <f t="shared" ref="S322:S385" si="70">IF(R322="FLAT8",O322*P322*8%,IF(R322="FLAT10",O322*P322*10%,IF(R322="FLAT15",O322*P322*15%,IF(R322="FLAT20",O322*P322*20%,0))))</f>
        <v>37.262</v>
      </c>
      <c r="T322" s="1">
        <f t="shared" ref="T322:T385" si="71">Q322-S322</f>
        <v>335.358</v>
      </c>
      <c r="U322" s="1">
        <v>1</v>
      </c>
      <c r="V322" s="1">
        <f t="shared" ref="V322:V385" si="72">T322+W322</f>
        <v>401.358</v>
      </c>
      <c r="W322" s="1">
        <v>66</v>
      </c>
      <c r="X322" s="2">
        <v>45471</v>
      </c>
      <c r="Y322" s="1" t="s">
        <v>1681</v>
      </c>
      <c r="Z322" s="1">
        <f t="shared" ref="Z322:Z385" si="73">(O322*P322)+W322</f>
        <v>438.62</v>
      </c>
      <c r="AA322" s="1">
        <f t="shared" ref="AA322:AA385" si="74">X322-K322</f>
        <v>2</v>
      </c>
      <c r="AB322" s="1" t="str">
        <f t="shared" ref="AB322:AB385" si="75">IF(AA322&gt;U322,"Late",IF(AA322=U322,"Intime","BeforeTime"))</f>
        <v>Late</v>
      </c>
      <c r="AC322" s="1">
        <f t="shared" ref="AC322:AC385" si="76">O322*P322</f>
        <v>372.62</v>
      </c>
      <c r="AD322" s="7">
        <f t="shared" ref="AD322:AD385" si="77">IF(R322="FLAT8",8%,IF(R322="FLAT10",10%,IF(R322="FLAT15",15%,IF(R322="FLAT20",20%,0))))</f>
        <v>0.1</v>
      </c>
      <c r="AE322" s="1">
        <f t="shared" ref="AE322:AE385" si="78">Q322*AD322</f>
        <v>37.262</v>
      </c>
      <c r="AF322" s="1">
        <f t="shared" ref="AF322:AF385" si="79">IF(R322="DEL0",AE322,AE322+W322)</f>
        <v>103.262</v>
      </c>
    </row>
    <row r="323" spans="1:32" ht="14.25" customHeight="1" x14ac:dyDescent="0.3">
      <c r="A323" s="1" t="s">
        <v>210</v>
      </c>
      <c r="B323" s="1" t="s">
        <v>211</v>
      </c>
      <c r="C323" s="1" t="s">
        <v>212</v>
      </c>
      <c r="D323" s="1" t="str">
        <f t="shared" si="67"/>
        <v>Mark Henderson</v>
      </c>
      <c r="E323" s="1">
        <v>33</v>
      </c>
      <c r="F323" s="1" t="s">
        <v>45</v>
      </c>
      <c r="G323" s="1" t="s">
        <v>213</v>
      </c>
      <c r="H323" s="1" t="s">
        <v>214</v>
      </c>
      <c r="I323" s="1" t="s">
        <v>215</v>
      </c>
      <c r="J323" s="1" t="s">
        <v>1702</v>
      </c>
      <c r="K323" s="2">
        <v>45657</v>
      </c>
      <c r="L323" s="2" t="str">
        <f t="shared" si="68"/>
        <v>December</v>
      </c>
      <c r="M323" s="1" t="s">
        <v>1703</v>
      </c>
      <c r="N323" s="1" t="s">
        <v>337</v>
      </c>
      <c r="O323" s="1">
        <v>372.62</v>
      </c>
      <c r="P323" s="1">
        <v>1</v>
      </c>
      <c r="Q323" s="1">
        <f t="shared" si="69"/>
        <v>372.62</v>
      </c>
      <c r="R323" s="1" t="s">
        <v>51</v>
      </c>
      <c r="S323" s="1">
        <f t="shared" si="70"/>
        <v>55.893000000000001</v>
      </c>
      <c r="T323" s="1">
        <f t="shared" si="71"/>
        <v>316.72699999999998</v>
      </c>
      <c r="U323" s="1">
        <v>5</v>
      </c>
      <c r="V323" s="1">
        <f t="shared" si="72"/>
        <v>366.72699999999998</v>
      </c>
      <c r="W323" s="1">
        <v>50</v>
      </c>
      <c r="X323" s="2">
        <v>45661</v>
      </c>
      <c r="Y323" s="1" t="s">
        <v>1704</v>
      </c>
      <c r="Z323" s="1">
        <f t="shared" si="73"/>
        <v>422.62</v>
      </c>
      <c r="AA323" s="1">
        <f t="shared" si="74"/>
        <v>4</v>
      </c>
      <c r="AB323" s="1" t="str">
        <f t="shared" si="75"/>
        <v>BeforeTime</v>
      </c>
      <c r="AC323" s="1">
        <f t="shared" si="76"/>
        <v>372.62</v>
      </c>
      <c r="AD323" s="7">
        <f t="shared" si="77"/>
        <v>0.15</v>
      </c>
      <c r="AE323" s="1">
        <f t="shared" si="78"/>
        <v>55.893000000000001</v>
      </c>
      <c r="AF323" s="1">
        <f t="shared" si="79"/>
        <v>105.893</v>
      </c>
    </row>
    <row r="324" spans="1:32" ht="14.25" customHeight="1" x14ac:dyDescent="0.3">
      <c r="A324" s="1" t="s">
        <v>121</v>
      </c>
      <c r="B324" s="1" t="s">
        <v>122</v>
      </c>
      <c r="C324" s="1" t="s">
        <v>123</v>
      </c>
      <c r="D324" s="1" t="str">
        <f t="shared" si="67"/>
        <v>Joseph Stewart</v>
      </c>
      <c r="E324" s="1">
        <v>30</v>
      </c>
      <c r="F324" s="1" t="s">
        <v>34</v>
      </c>
      <c r="G324" s="1" t="s">
        <v>35</v>
      </c>
      <c r="H324" s="1" t="s">
        <v>124</v>
      </c>
      <c r="I324" s="1" t="s">
        <v>125</v>
      </c>
      <c r="J324" s="1" t="s">
        <v>939</v>
      </c>
      <c r="K324" s="2">
        <v>45185</v>
      </c>
      <c r="L324" s="2" t="str">
        <f t="shared" si="68"/>
        <v>September</v>
      </c>
      <c r="M324" s="1" t="s">
        <v>940</v>
      </c>
      <c r="N324" s="1" t="s">
        <v>423</v>
      </c>
      <c r="O324" s="1">
        <v>369.03</v>
      </c>
      <c r="P324" s="1">
        <v>1</v>
      </c>
      <c r="Q324" s="1">
        <f t="shared" si="69"/>
        <v>369.03</v>
      </c>
      <c r="R324" s="1" t="s">
        <v>78</v>
      </c>
      <c r="S324" s="1">
        <f t="shared" si="70"/>
        <v>73.805999999999997</v>
      </c>
      <c r="T324" s="1">
        <f t="shared" si="71"/>
        <v>295.22399999999999</v>
      </c>
      <c r="U324" s="1">
        <v>1</v>
      </c>
      <c r="V324" s="1">
        <f t="shared" si="72"/>
        <v>343.22399999999999</v>
      </c>
      <c r="W324" s="1">
        <v>48</v>
      </c>
      <c r="X324" s="2">
        <v>45192</v>
      </c>
      <c r="Y324" s="1" t="s">
        <v>941</v>
      </c>
      <c r="Z324" s="1">
        <f t="shared" si="73"/>
        <v>417.03</v>
      </c>
      <c r="AA324" s="1">
        <f t="shared" si="74"/>
        <v>7</v>
      </c>
      <c r="AB324" s="1" t="str">
        <f t="shared" si="75"/>
        <v>Late</v>
      </c>
      <c r="AC324" s="1">
        <f t="shared" si="76"/>
        <v>369.03</v>
      </c>
      <c r="AD324" s="7">
        <f t="shared" si="77"/>
        <v>0.2</v>
      </c>
      <c r="AE324" s="1">
        <f t="shared" si="78"/>
        <v>73.805999999999997</v>
      </c>
      <c r="AF324" s="1">
        <f t="shared" si="79"/>
        <v>121.806</v>
      </c>
    </row>
    <row r="325" spans="1:32" ht="14.25" customHeight="1" x14ac:dyDescent="0.3">
      <c r="A325" s="1" t="s">
        <v>513</v>
      </c>
      <c r="B325" s="1" t="s">
        <v>514</v>
      </c>
      <c r="C325" s="1" t="s">
        <v>515</v>
      </c>
      <c r="D325" s="1" t="str">
        <f t="shared" si="67"/>
        <v>Katherine Weber</v>
      </c>
      <c r="E325" s="1">
        <v>42</v>
      </c>
      <c r="F325" s="1" t="s">
        <v>45</v>
      </c>
      <c r="G325" s="1" t="s">
        <v>69</v>
      </c>
      <c r="H325" s="1" t="s">
        <v>516</v>
      </c>
      <c r="I325" s="1" t="s">
        <v>517</v>
      </c>
      <c r="J325" s="1" t="s">
        <v>1211</v>
      </c>
      <c r="K325" s="2">
        <v>44968</v>
      </c>
      <c r="L325" s="2" t="str">
        <f t="shared" si="68"/>
        <v>February</v>
      </c>
      <c r="M325" s="1" t="s">
        <v>1212</v>
      </c>
      <c r="N325" s="1" t="s">
        <v>423</v>
      </c>
      <c r="O325" s="1">
        <v>369.03</v>
      </c>
      <c r="P325" s="1">
        <v>1</v>
      </c>
      <c r="Q325" s="1">
        <f t="shared" si="69"/>
        <v>369.03</v>
      </c>
      <c r="R325" s="1" t="s">
        <v>78</v>
      </c>
      <c r="S325" s="1">
        <f t="shared" si="70"/>
        <v>73.805999999999997</v>
      </c>
      <c r="T325" s="1">
        <f t="shared" si="71"/>
        <v>295.22399999999999</v>
      </c>
      <c r="U325" s="1">
        <v>6</v>
      </c>
      <c r="V325" s="1">
        <f t="shared" si="72"/>
        <v>333.22399999999999</v>
      </c>
      <c r="W325" s="1">
        <v>38</v>
      </c>
      <c r="X325" s="2">
        <v>44974</v>
      </c>
      <c r="Y325" s="1" t="s">
        <v>1213</v>
      </c>
      <c r="Z325" s="1">
        <f t="shared" si="73"/>
        <v>407.03</v>
      </c>
      <c r="AA325" s="1">
        <f t="shared" si="74"/>
        <v>6</v>
      </c>
      <c r="AB325" s="1" t="str">
        <f t="shared" si="75"/>
        <v>Intime</v>
      </c>
      <c r="AC325" s="1">
        <f t="shared" si="76"/>
        <v>369.03</v>
      </c>
      <c r="AD325" s="7">
        <f t="shared" si="77"/>
        <v>0.2</v>
      </c>
      <c r="AE325" s="1">
        <f t="shared" si="78"/>
        <v>73.805999999999997</v>
      </c>
      <c r="AF325" s="1">
        <f t="shared" si="79"/>
        <v>111.806</v>
      </c>
    </row>
    <row r="326" spans="1:32" ht="14.25" customHeight="1" x14ac:dyDescent="0.3">
      <c r="A326" s="1" t="s">
        <v>405</v>
      </c>
      <c r="B326" s="1" t="s">
        <v>221</v>
      </c>
      <c r="C326" s="1" t="s">
        <v>406</v>
      </c>
      <c r="D326" s="1" t="str">
        <f t="shared" si="67"/>
        <v>John Ramirez</v>
      </c>
      <c r="E326" s="1">
        <v>28</v>
      </c>
      <c r="F326" s="1" t="s">
        <v>45</v>
      </c>
      <c r="G326" s="1" t="s">
        <v>133</v>
      </c>
      <c r="H326" s="1" t="s">
        <v>407</v>
      </c>
      <c r="I326" s="1" t="s">
        <v>408</v>
      </c>
      <c r="J326" s="1" t="s">
        <v>425</v>
      </c>
      <c r="K326" s="2">
        <v>45599</v>
      </c>
      <c r="L326" s="2" t="str">
        <f t="shared" si="68"/>
        <v>November</v>
      </c>
      <c r="M326" s="1" t="s">
        <v>426</v>
      </c>
      <c r="N326" s="1" t="s">
        <v>88</v>
      </c>
      <c r="O326" s="1">
        <v>363.64</v>
      </c>
      <c r="P326" s="1">
        <v>1</v>
      </c>
      <c r="Q326" s="1">
        <f t="shared" si="69"/>
        <v>363.64</v>
      </c>
      <c r="R326" s="1" t="s">
        <v>89</v>
      </c>
      <c r="S326" s="1">
        <f t="shared" si="70"/>
        <v>36.363999999999997</v>
      </c>
      <c r="T326" s="1">
        <f t="shared" si="71"/>
        <v>327.27600000000001</v>
      </c>
      <c r="U326" s="1">
        <v>3</v>
      </c>
      <c r="V326" s="1">
        <f t="shared" si="72"/>
        <v>397.27600000000001</v>
      </c>
      <c r="W326" s="1">
        <v>70</v>
      </c>
      <c r="X326" s="2">
        <v>45606</v>
      </c>
      <c r="Y326" s="1" t="s">
        <v>427</v>
      </c>
      <c r="Z326" s="1">
        <f t="shared" si="73"/>
        <v>433.64</v>
      </c>
      <c r="AA326" s="1">
        <f t="shared" si="74"/>
        <v>7</v>
      </c>
      <c r="AB326" s="1" t="str">
        <f t="shared" si="75"/>
        <v>Late</v>
      </c>
      <c r="AC326" s="1">
        <f t="shared" si="76"/>
        <v>363.64</v>
      </c>
      <c r="AD326" s="7">
        <f t="shared" si="77"/>
        <v>0.1</v>
      </c>
      <c r="AE326" s="1">
        <f t="shared" si="78"/>
        <v>36.363999999999997</v>
      </c>
      <c r="AF326" s="1">
        <f t="shared" si="79"/>
        <v>106.364</v>
      </c>
    </row>
    <row r="327" spans="1:32" ht="14.25" customHeight="1" x14ac:dyDescent="0.3">
      <c r="A327" s="1" t="s">
        <v>717</v>
      </c>
      <c r="B327" s="1" t="s">
        <v>718</v>
      </c>
      <c r="C327" s="1" t="s">
        <v>160</v>
      </c>
      <c r="D327" s="1" t="str">
        <f t="shared" si="67"/>
        <v>Lisa Miller</v>
      </c>
      <c r="E327" s="1">
        <v>70</v>
      </c>
      <c r="F327" s="1" t="s">
        <v>34</v>
      </c>
      <c r="G327" s="1" t="s">
        <v>83</v>
      </c>
      <c r="H327" s="1" t="s">
        <v>719</v>
      </c>
      <c r="I327" s="1" t="s">
        <v>720</v>
      </c>
      <c r="J327" s="1" t="s">
        <v>1225</v>
      </c>
      <c r="K327" s="2">
        <v>45386</v>
      </c>
      <c r="L327" s="2" t="str">
        <f t="shared" si="68"/>
        <v>April</v>
      </c>
      <c r="M327" s="1" t="s">
        <v>1226</v>
      </c>
      <c r="N327" s="1" t="s">
        <v>128</v>
      </c>
      <c r="O327" s="1">
        <v>175.93</v>
      </c>
      <c r="P327" s="1">
        <v>2</v>
      </c>
      <c r="Q327" s="1">
        <f t="shared" si="69"/>
        <v>351.86</v>
      </c>
      <c r="R327" s="1" t="s">
        <v>89</v>
      </c>
      <c r="S327" s="1">
        <f t="shared" si="70"/>
        <v>35.186</v>
      </c>
      <c r="T327" s="1">
        <f t="shared" si="71"/>
        <v>316.67400000000004</v>
      </c>
      <c r="U327" s="1">
        <v>7</v>
      </c>
      <c r="V327" s="1">
        <f t="shared" si="72"/>
        <v>377.67400000000004</v>
      </c>
      <c r="W327" s="1">
        <v>61</v>
      </c>
      <c r="X327" s="2">
        <v>45391</v>
      </c>
      <c r="Y327" s="1" t="s">
        <v>1227</v>
      </c>
      <c r="Z327" s="1">
        <f t="shared" si="73"/>
        <v>412.86</v>
      </c>
      <c r="AA327" s="1">
        <f t="shared" si="74"/>
        <v>5</v>
      </c>
      <c r="AB327" s="1" t="str">
        <f t="shared" si="75"/>
        <v>BeforeTime</v>
      </c>
      <c r="AC327" s="1">
        <f t="shared" si="76"/>
        <v>351.86</v>
      </c>
      <c r="AD327" s="7">
        <f t="shared" si="77"/>
        <v>0.1</v>
      </c>
      <c r="AE327" s="1">
        <f t="shared" si="78"/>
        <v>35.186</v>
      </c>
      <c r="AF327" s="1">
        <f t="shared" si="79"/>
        <v>96.186000000000007</v>
      </c>
    </row>
    <row r="328" spans="1:32" ht="14.25" customHeight="1" x14ac:dyDescent="0.3">
      <c r="A328" s="1" t="s">
        <v>832</v>
      </c>
      <c r="B328" s="1" t="s">
        <v>833</v>
      </c>
      <c r="C328" s="1" t="s">
        <v>834</v>
      </c>
      <c r="D328" s="1" t="str">
        <f t="shared" si="67"/>
        <v>Leslie Montgomery</v>
      </c>
      <c r="E328" s="1">
        <v>26</v>
      </c>
      <c r="F328" s="1" t="s">
        <v>34</v>
      </c>
      <c r="G328" s="1" t="s">
        <v>152</v>
      </c>
      <c r="H328" s="1" t="s">
        <v>835</v>
      </c>
      <c r="I328" s="1" t="s">
        <v>836</v>
      </c>
      <c r="J328" s="1" t="s">
        <v>1408</v>
      </c>
      <c r="K328" s="2">
        <v>45104</v>
      </c>
      <c r="L328" s="2" t="str">
        <f t="shared" si="68"/>
        <v>June</v>
      </c>
      <c r="M328" s="1" t="s">
        <v>1409</v>
      </c>
      <c r="N328" s="1" t="s">
        <v>128</v>
      </c>
      <c r="O328" s="1">
        <v>175.93</v>
      </c>
      <c r="P328" s="1">
        <v>2</v>
      </c>
      <c r="Q328" s="1">
        <f t="shared" si="69"/>
        <v>351.86</v>
      </c>
      <c r="R328" s="1" t="s">
        <v>29</v>
      </c>
      <c r="S328" s="1">
        <f t="shared" si="70"/>
        <v>28.148800000000001</v>
      </c>
      <c r="T328" s="1">
        <f t="shared" si="71"/>
        <v>323.71120000000002</v>
      </c>
      <c r="U328" s="1">
        <v>5</v>
      </c>
      <c r="V328" s="1">
        <f t="shared" si="72"/>
        <v>372.71120000000002</v>
      </c>
      <c r="W328" s="1">
        <v>49</v>
      </c>
      <c r="X328" s="2">
        <v>45106</v>
      </c>
      <c r="Y328" s="1" t="s">
        <v>1410</v>
      </c>
      <c r="Z328" s="1">
        <f t="shared" si="73"/>
        <v>400.86</v>
      </c>
      <c r="AA328" s="1">
        <f t="shared" si="74"/>
        <v>2</v>
      </c>
      <c r="AB328" s="1" t="str">
        <f t="shared" si="75"/>
        <v>BeforeTime</v>
      </c>
      <c r="AC328" s="1">
        <f t="shared" si="76"/>
        <v>351.86</v>
      </c>
      <c r="AD328" s="7">
        <f t="shared" si="77"/>
        <v>0.08</v>
      </c>
      <c r="AE328" s="1">
        <f t="shared" si="78"/>
        <v>28.148800000000001</v>
      </c>
      <c r="AF328" s="1">
        <f t="shared" si="79"/>
        <v>77.148799999999994</v>
      </c>
    </row>
    <row r="329" spans="1:32" ht="14.25" customHeight="1" x14ac:dyDescent="0.3">
      <c r="A329" s="1" t="s">
        <v>1072</v>
      </c>
      <c r="B329" s="1" t="s">
        <v>211</v>
      </c>
      <c r="C329" s="1" t="s">
        <v>1073</v>
      </c>
      <c r="D329" s="1" t="str">
        <f t="shared" si="67"/>
        <v>Mark Summers</v>
      </c>
      <c r="E329" s="1">
        <v>55</v>
      </c>
      <c r="F329" s="1" t="s">
        <v>34</v>
      </c>
      <c r="G329" s="1" t="s">
        <v>152</v>
      </c>
      <c r="H329" s="1" t="s">
        <v>1074</v>
      </c>
      <c r="I329" s="1" t="s">
        <v>1075</v>
      </c>
      <c r="J329" s="1" t="s">
        <v>1429</v>
      </c>
      <c r="K329" s="2">
        <v>45324</v>
      </c>
      <c r="L329" s="2" t="str">
        <f t="shared" si="68"/>
        <v>February</v>
      </c>
      <c r="M329" s="1" t="s">
        <v>1430</v>
      </c>
      <c r="N329" s="1" t="s">
        <v>128</v>
      </c>
      <c r="O329" s="1">
        <v>175.93</v>
      </c>
      <c r="P329" s="1">
        <v>2</v>
      </c>
      <c r="Q329" s="1">
        <f t="shared" si="69"/>
        <v>351.86</v>
      </c>
      <c r="R329" s="1" t="s">
        <v>56</v>
      </c>
      <c r="S329" s="1">
        <f t="shared" si="70"/>
        <v>0</v>
      </c>
      <c r="T329" s="1">
        <f t="shared" si="71"/>
        <v>351.86</v>
      </c>
      <c r="U329" s="1">
        <v>6</v>
      </c>
      <c r="V329" s="1">
        <f t="shared" si="72"/>
        <v>401.86</v>
      </c>
      <c r="W329" s="1">
        <v>50</v>
      </c>
      <c r="X329" s="2">
        <v>45325</v>
      </c>
      <c r="Y329" s="1" t="s">
        <v>1431</v>
      </c>
      <c r="Z329" s="1">
        <f t="shared" si="73"/>
        <v>401.86</v>
      </c>
      <c r="AA329" s="1">
        <f t="shared" si="74"/>
        <v>1</v>
      </c>
      <c r="AB329" s="1" t="str">
        <f t="shared" si="75"/>
        <v>BeforeTime</v>
      </c>
      <c r="AC329" s="1">
        <f t="shared" si="76"/>
        <v>351.86</v>
      </c>
      <c r="AD329" s="7">
        <f t="shared" si="77"/>
        <v>0</v>
      </c>
      <c r="AE329" s="1">
        <f t="shared" si="78"/>
        <v>0</v>
      </c>
      <c r="AF329" s="1">
        <f t="shared" si="79"/>
        <v>0</v>
      </c>
    </row>
    <row r="330" spans="1:32" ht="14.25" customHeight="1" x14ac:dyDescent="0.3">
      <c r="A330" s="1" t="s">
        <v>468</v>
      </c>
      <c r="B330" s="1" t="s">
        <v>101</v>
      </c>
      <c r="C330" s="1" t="s">
        <v>469</v>
      </c>
      <c r="D330" s="1" t="str">
        <f t="shared" si="67"/>
        <v>Debra Hayes</v>
      </c>
      <c r="E330" s="1">
        <v>33</v>
      </c>
      <c r="F330" s="1" t="s">
        <v>22</v>
      </c>
      <c r="G330" s="1" t="s">
        <v>161</v>
      </c>
      <c r="H330" s="1" t="s">
        <v>470</v>
      </c>
      <c r="I330" s="1" t="s">
        <v>471</v>
      </c>
      <c r="J330" s="1" t="s">
        <v>472</v>
      </c>
      <c r="K330" s="2">
        <v>45435</v>
      </c>
      <c r="L330" s="2" t="str">
        <f t="shared" si="68"/>
        <v>May</v>
      </c>
      <c r="M330" s="1" t="s">
        <v>473</v>
      </c>
      <c r="N330" s="1" t="s">
        <v>474</v>
      </c>
      <c r="O330" s="1">
        <v>87.09</v>
      </c>
      <c r="P330" s="1">
        <v>4</v>
      </c>
      <c r="Q330" s="1">
        <f t="shared" si="69"/>
        <v>348.36</v>
      </c>
      <c r="R330" s="1" t="s">
        <v>56</v>
      </c>
      <c r="S330" s="1">
        <f t="shared" si="70"/>
        <v>0</v>
      </c>
      <c r="T330" s="1">
        <f t="shared" si="71"/>
        <v>348.36</v>
      </c>
      <c r="U330" s="1">
        <v>6</v>
      </c>
      <c r="V330" s="1">
        <f t="shared" si="72"/>
        <v>411.36</v>
      </c>
      <c r="W330" s="1">
        <v>63</v>
      </c>
      <c r="X330" s="2">
        <v>45439</v>
      </c>
      <c r="Y330" s="1" t="s">
        <v>475</v>
      </c>
      <c r="Z330" s="1">
        <f t="shared" si="73"/>
        <v>411.36</v>
      </c>
      <c r="AA330" s="1">
        <f t="shared" si="74"/>
        <v>4</v>
      </c>
      <c r="AB330" s="1" t="str">
        <f t="shared" si="75"/>
        <v>BeforeTime</v>
      </c>
      <c r="AC330" s="1">
        <f t="shared" si="76"/>
        <v>348.36</v>
      </c>
      <c r="AD330" s="7">
        <f t="shared" si="77"/>
        <v>0</v>
      </c>
      <c r="AE330" s="1">
        <f t="shared" si="78"/>
        <v>0</v>
      </c>
      <c r="AF330" s="1">
        <f t="shared" si="79"/>
        <v>0</v>
      </c>
    </row>
    <row r="331" spans="1:32" ht="14.25" customHeight="1" x14ac:dyDescent="0.3">
      <c r="A331" s="1" t="s">
        <v>698</v>
      </c>
      <c r="B331" s="1" t="s">
        <v>699</v>
      </c>
      <c r="C331" s="1" t="s">
        <v>700</v>
      </c>
      <c r="D331" s="1" t="str">
        <f t="shared" si="67"/>
        <v>Gregory Lee</v>
      </c>
      <c r="E331" s="1">
        <v>26</v>
      </c>
      <c r="F331" s="1" t="s">
        <v>45</v>
      </c>
      <c r="G331" s="1" t="s">
        <v>69</v>
      </c>
      <c r="H331" s="1" t="s">
        <v>701</v>
      </c>
      <c r="I331" s="1" t="s">
        <v>702</v>
      </c>
      <c r="J331" s="1" t="s">
        <v>1960</v>
      </c>
      <c r="K331" s="2">
        <v>45362</v>
      </c>
      <c r="L331" s="2" t="str">
        <f t="shared" si="68"/>
        <v>March</v>
      </c>
      <c r="M331" s="1" t="s">
        <v>1961</v>
      </c>
      <c r="N331" s="1" t="s">
        <v>474</v>
      </c>
      <c r="O331" s="1">
        <v>87.09</v>
      </c>
      <c r="P331" s="1">
        <v>4</v>
      </c>
      <c r="Q331" s="1">
        <f t="shared" si="69"/>
        <v>348.36</v>
      </c>
      <c r="R331" s="1" t="s">
        <v>89</v>
      </c>
      <c r="S331" s="1">
        <f t="shared" si="70"/>
        <v>34.836000000000006</v>
      </c>
      <c r="T331" s="1">
        <f t="shared" si="71"/>
        <v>313.524</v>
      </c>
      <c r="U331" s="1">
        <v>5</v>
      </c>
      <c r="V331" s="1">
        <f t="shared" si="72"/>
        <v>358.524</v>
      </c>
      <c r="W331" s="1">
        <v>45</v>
      </c>
      <c r="X331" s="2">
        <v>45368</v>
      </c>
      <c r="Y331" s="1" t="s">
        <v>1962</v>
      </c>
      <c r="Z331" s="1">
        <f t="shared" si="73"/>
        <v>393.36</v>
      </c>
      <c r="AA331" s="1">
        <f t="shared" si="74"/>
        <v>6</v>
      </c>
      <c r="AB331" s="1" t="str">
        <f t="shared" si="75"/>
        <v>Late</v>
      </c>
      <c r="AC331" s="1">
        <f t="shared" si="76"/>
        <v>348.36</v>
      </c>
      <c r="AD331" s="7">
        <f t="shared" si="77"/>
        <v>0.1</v>
      </c>
      <c r="AE331" s="1">
        <f t="shared" si="78"/>
        <v>34.836000000000006</v>
      </c>
      <c r="AF331" s="1">
        <f t="shared" si="79"/>
        <v>79.836000000000013</v>
      </c>
    </row>
    <row r="332" spans="1:32" ht="14.25" customHeight="1" x14ac:dyDescent="0.3">
      <c r="A332" s="1" t="s">
        <v>386</v>
      </c>
      <c r="B332" s="1" t="s">
        <v>387</v>
      </c>
      <c r="C332" s="1" t="s">
        <v>388</v>
      </c>
      <c r="D332" s="1" t="str">
        <f t="shared" si="67"/>
        <v>Jason Lopez</v>
      </c>
      <c r="E332" s="1">
        <v>40</v>
      </c>
      <c r="F332" s="1" t="s">
        <v>45</v>
      </c>
      <c r="G332" s="1" t="s">
        <v>161</v>
      </c>
      <c r="H332" s="1" t="s">
        <v>389</v>
      </c>
      <c r="I332" s="1" t="s">
        <v>390</v>
      </c>
      <c r="J332" s="1" t="s">
        <v>1082</v>
      </c>
      <c r="K332" s="2">
        <v>45074</v>
      </c>
      <c r="L332" s="2" t="str">
        <f t="shared" si="68"/>
        <v>May</v>
      </c>
      <c r="M332" s="1" t="s">
        <v>1083</v>
      </c>
      <c r="N332" s="1" t="s">
        <v>731</v>
      </c>
      <c r="O332" s="1">
        <v>110.95</v>
      </c>
      <c r="P332" s="1">
        <v>3</v>
      </c>
      <c r="Q332" s="1">
        <f t="shared" si="69"/>
        <v>332.85</v>
      </c>
      <c r="R332" s="1" t="s">
        <v>89</v>
      </c>
      <c r="S332" s="1">
        <f t="shared" si="70"/>
        <v>33.285000000000004</v>
      </c>
      <c r="T332" s="1">
        <f t="shared" si="71"/>
        <v>299.565</v>
      </c>
      <c r="U332" s="1">
        <v>6</v>
      </c>
      <c r="V332" s="1">
        <f t="shared" si="72"/>
        <v>364.565</v>
      </c>
      <c r="W332" s="1">
        <v>65</v>
      </c>
      <c r="X332" s="2">
        <v>45079</v>
      </c>
      <c r="Y332" s="1" t="s">
        <v>1084</v>
      </c>
      <c r="Z332" s="1">
        <f t="shared" si="73"/>
        <v>397.85</v>
      </c>
      <c r="AA332" s="1">
        <f t="shared" si="74"/>
        <v>5</v>
      </c>
      <c r="AB332" s="1" t="str">
        <f t="shared" si="75"/>
        <v>BeforeTime</v>
      </c>
      <c r="AC332" s="1">
        <f t="shared" si="76"/>
        <v>332.85</v>
      </c>
      <c r="AD332" s="7">
        <f t="shared" si="77"/>
        <v>0.1</v>
      </c>
      <c r="AE332" s="1">
        <f t="shared" si="78"/>
        <v>33.285000000000004</v>
      </c>
      <c r="AF332" s="1">
        <f t="shared" si="79"/>
        <v>98.284999999999997</v>
      </c>
    </row>
    <row r="333" spans="1:32" ht="14.25" customHeight="1" x14ac:dyDescent="0.3">
      <c r="A333" s="1" t="s">
        <v>294</v>
      </c>
      <c r="B333" s="1" t="s">
        <v>295</v>
      </c>
      <c r="C333" s="1" t="s">
        <v>296</v>
      </c>
      <c r="D333" s="1" t="str">
        <f t="shared" si="67"/>
        <v>Valerie Carr</v>
      </c>
      <c r="E333" s="1">
        <v>26</v>
      </c>
      <c r="F333" s="1" t="s">
        <v>45</v>
      </c>
      <c r="G333" s="1" t="s">
        <v>161</v>
      </c>
      <c r="H333" s="1" t="s">
        <v>297</v>
      </c>
      <c r="I333" s="1" t="s">
        <v>298</v>
      </c>
      <c r="J333" s="1" t="s">
        <v>1264</v>
      </c>
      <c r="K333" s="2">
        <v>45393</v>
      </c>
      <c r="L333" s="2" t="str">
        <f t="shared" si="68"/>
        <v>April</v>
      </c>
      <c r="M333" s="1" t="s">
        <v>1265</v>
      </c>
      <c r="N333" s="1" t="s">
        <v>731</v>
      </c>
      <c r="O333" s="1">
        <v>110.95</v>
      </c>
      <c r="P333" s="1">
        <v>3</v>
      </c>
      <c r="Q333" s="1">
        <f t="shared" si="69"/>
        <v>332.85</v>
      </c>
      <c r="R333" s="1" t="s">
        <v>56</v>
      </c>
      <c r="S333" s="1">
        <f t="shared" si="70"/>
        <v>0</v>
      </c>
      <c r="T333" s="1">
        <f t="shared" si="71"/>
        <v>332.85</v>
      </c>
      <c r="U333" s="1">
        <v>5</v>
      </c>
      <c r="V333" s="1">
        <f t="shared" si="72"/>
        <v>379.85</v>
      </c>
      <c r="W333" s="1">
        <v>47</v>
      </c>
      <c r="X333" s="2">
        <v>45399</v>
      </c>
      <c r="Y333" s="1" t="s">
        <v>1266</v>
      </c>
      <c r="Z333" s="1">
        <f t="shared" si="73"/>
        <v>379.85</v>
      </c>
      <c r="AA333" s="1">
        <f t="shared" si="74"/>
        <v>6</v>
      </c>
      <c r="AB333" s="1" t="str">
        <f t="shared" si="75"/>
        <v>Late</v>
      </c>
      <c r="AC333" s="1">
        <f t="shared" si="76"/>
        <v>332.85</v>
      </c>
      <c r="AD333" s="7">
        <f t="shared" si="77"/>
        <v>0</v>
      </c>
      <c r="AE333" s="1">
        <f t="shared" si="78"/>
        <v>0</v>
      </c>
      <c r="AF333" s="1">
        <f t="shared" si="79"/>
        <v>0</v>
      </c>
    </row>
    <row r="334" spans="1:32" ht="14.25" customHeight="1" x14ac:dyDescent="0.3">
      <c r="A334" s="1" t="s">
        <v>1868</v>
      </c>
      <c r="B334" s="1" t="s">
        <v>1097</v>
      </c>
      <c r="C334" s="1" t="s">
        <v>1869</v>
      </c>
      <c r="D334" s="1" t="str">
        <f t="shared" si="67"/>
        <v>Gary Jacobs</v>
      </c>
      <c r="E334" s="1">
        <v>64</v>
      </c>
      <c r="F334" s="1" t="s">
        <v>34</v>
      </c>
      <c r="G334" s="1" t="s">
        <v>69</v>
      </c>
      <c r="H334" s="1" t="s">
        <v>1870</v>
      </c>
      <c r="I334" s="1" t="s">
        <v>1871</v>
      </c>
      <c r="J334" s="1" t="s">
        <v>1884</v>
      </c>
      <c r="K334" s="2">
        <v>45379</v>
      </c>
      <c r="L334" s="2" t="str">
        <f t="shared" si="68"/>
        <v>March</v>
      </c>
      <c r="M334" s="1" t="s">
        <v>1885</v>
      </c>
      <c r="N334" s="1" t="s">
        <v>40</v>
      </c>
      <c r="O334" s="1">
        <v>166.28</v>
      </c>
      <c r="P334" s="1">
        <v>2</v>
      </c>
      <c r="Q334" s="1">
        <f t="shared" si="69"/>
        <v>332.56</v>
      </c>
      <c r="R334" s="1" t="s">
        <v>78</v>
      </c>
      <c r="S334" s="1">
        <f t="shared" si="70"/>
        <v>66.512</v>
      </c>
      <c r="T334" s="1">
        <f t="shared" si="71"/>
        <v>266.048</v>
      </c>
      <c r="U334" s="1">
        <v>4</v>
      </c>
      <c r="V334" s="1">
        <f t="shared" si="72"/>
        <v>306.048</v>
      </c>
      <c r="W334" s="1">
        <v>40</v>
      </c>
      <c r="X334" s="2">
        <v>45384</v>
      </c>
      <c r="Y334" s="1" t="s">
        <v>1886</v>
      </c>
      <c r="Z334" s="1">
        <f t="shared" si="73"/>
        <v>372.56</v>
      </c>
      <c r="AA334" s="1">
        <f t="shared" si="74"/>
        <v>5</v>
      </c>
      <c r="AB334" s="1" t="str">
        <f t="shared" si="75"/>
        <v>Late</v>
      </c>
      <c r="AC334" s="1">
        <f t="shared" si="76"/>
        <v>332.56</v>
      </c>
      <c r="AD334" s="7">
        <f t="shared" si="77"/>
        <v>0.2</v>
      </c>
      <c r="AE334" s="1">
        <f t="shared" si="78"/>
        <v>66.512</v>
      </c>
      <c r="AF334" s="1">
        <f t="shared" si="79"/>
        <v>106.512</v>
      </c>
    </row>
    <row r="335" spans="1:32" ht="14.25" customHeight="1" x14ac:dyDescent="0.3">
      <c r="A335" s="1" t="s">
        <v>596</v>
      </c>
      <c r="B335" s="1" t="s">
        <v>597</v>
      </c>
      <c r="C335" s="1" t="s">
        <v>396</v>
      </c>
      <c r="D335" s="1" t="str">
        <f t="shared" si="67"/>
        <v>Kelli Smith</v>
      </c>
      <c r="E335" s="1">
        <v>18</v>
      </c>
      <c r="F335" s="1" t="s">
        <v>34</v>
      </c>
      <c r="G335" s="1" t="s">
        <v>35</v>
      </c>
      <c r="H335" s="1" t="s">
        <v>598</v>
      </c>
      <c r="I335" s="1" t="s">
        <v>599</v>
      </c>
      <c r="J335" s="1" t="s">
        <v>600</v>
      </c>
      <c r="K335" s="2">
        <v>45625</v>
      </c>
      <c r="L335" s="2" t="str">
        <f t="shared" si="68"/>
        <v>November</v>
      </c>
      <c r="M335" s="1" t="s">
        <v>601</v>
      </c>
      <c r="N335" s="1" t="s">
        <v>74</v>
      </c>
      <c r="O335" s="1">
        <v>330.11</v>
      </c>
      <c r="P335" s="1">
        <v>1</v>
      </c>
      <c r="Q335" s="1">
        <f t="shared" si="69"/>
        <v>330.11</v>
      </c>
      <c r="R335" s="1" t="s">
        <v>78</v>
      </c>
      <c r="S335" s="1">
        <f t="shared" si="70"/>
        <v>66.022000000000006</v>
      </c>
      <c r="T335" s="1">
        <f t="shared" si="71"/>
        <v>264.08800000000002</v>
      </c>
      <c r="U335" s="1">
        <v>4</v>
      </c>
      <c r="V335" s="1">
        <f t="shared" si="72"/>
        <v>331.08800000000002</v>
      </c>
      <c r="W335" s="1">
        <v>67</v>
      </c>
      <c r="X335" s="2">
        <v>45627</v>
      </c>
      <c r="Y335" s="1" t="s">
        <v>602</v>
      </c>
      <c r="Z335" s="1">
        <f t="shared" si="73"/>
        <v>397.11</v>
      </c>
      <c r="AA335" s="1">
        <f t="shared" si="74"/>
        <v>2</v>
      </c>
      <c r="AB335" s="1" t="str">
        <f t="shared" si="75"/>
        <v>BeforeTime</v>
      </c>
      <c r="AC335" s="1">
        <f t="shared" si="76"/>
        <v>330.11</v>
      </c>
      <c r="AD335" s="7">
        <f t="shared" si="77"/>
        <v>0.2</v>
      </c>
      <c r="AE335" s="1">
        <f t="shared" si="78"/>
        <v>66.022000000000006</v>
      </c>
      <c r="AF335" s="1">
        <f t="shared" si="79"/>
        <v>133.02199999999999</v>
      </c>
    </row>
    <row r="336" spans="1:32" ht="14.25" customHeight="1" x14ac:dyDescent="0.3">
      <c r="A336" s="1" t="s">
        <v>1730</v>
      </c>
      <c r="B336" s="1" t="s">
        <v>1731</v>
      </c>
      <c r="C336" s="1" t="s">
        <v>1732</v>
      </c>
      <c r="D336" s="1" t="str">
        <f t="shared" si="67"/>
        <v>Regina Hawkins</v>
      </c>
      <c r="E336" s="1">
        <v>47</v>
      </c>
      <c r="F336" s="1" t="s">
        <v>34</v>
      </c>
      <c r="G336" s="1" t="s">
        <v>23</v>
      </c>
      <c r="H336" s="1" t="s">
        <v>1733</v>
      </c>
      <c r="I336" s="1" t="s">
        <v>1734</v>
      </c>
      <c r="J336" s="1" t="s">
        <v>1896</v>
      </c>
      <c r="K336" s="2">
        <v>45380</v>
      </c>
      <c r="L336" s="2" t="str">
        <f t="shared" si="68"/>
        <v>March</v>
      </c>
      <c r="M336" s="1" t="s">
        <v>1897</v>
      </c>
      <c r="N336" s="1" t="s">
        <v>74</v>
      </c>
      <c r="O336" s="1">
        <v>330.11</v>
      </c>
      <c r="P336" s="1">
        <v>1</v>
      </c>
      <c r="Q336" s="1">
        <f t="shared" si="69"/>
        <v>330.11</v>
      </c>
      <c r="R336" s="1" t="s">
        <v>89</v>
      </c>
      <c r="S336" s="1">
        <f t="shared" si="70"/>
        <v>33.011000000000003</v>
      </c>
      <c r="T336" s="1">
        <f t="shared" si="71"/>
        <v>297.09899999999999</v>
      </c>
      <c r="U336" s="1">
        <v>4</v>
      </c>
      <c r="V336" s="1">
        <f t="shared" si="72"/>
        <v>336.09899999999999</v>
      </c>
      <c r="W336" s="1">
        <v>39</v>
      </c>
      <c r="X336" s="2">
        <v>45384</v>
      </c>
      <c r="Y336" s="1" t="s">
        <v>1898</v>
      </c>
      <c r="Z336" s="1">
        <f t="shared" si="73"/>
        <v>369.11</v>
      </c>
      <c r="AA336" s="1">
        <f t="shared" si="74"/>
        <v>4</v>
      </c>
      <c r="AB336" s="1" t="str">
        <f t="shared" si="75"/>
        <v>Intime</v>
      </c>
      <c r="AC336" s="1">
        <f t="shared" si="76"/>
        <v>330.11</v>
      </c>
      <c r="AD336" s="7">
        <f t="shared" si="77"/>
        <v>0.1</v>
      </c>
      <c r="AE336" s="1">
        <f t="shared" si="78"/>
        <v>33.011000000000003</v>
      </c>
      <c r="AF336" s="1">
        <f t="shared" si="79"/>
        <v>72.010999999999996</v>
      </c>
    </row>
    <row r="337" spans="1:32" ht="14.25" customHeight="1" x14ac:dyDescent="0.3">
      <c r="A337" s="1" t="s">
        <v>493</v>
      </c>
      <c r="B337" s="1" t="s">
        <v>494</v>
      </c>
      <c r="C337" s="1" t="s">
        <v>380</v>
      </c>
      <c r="D337" s="1" t="str">
        <f t="shared" si="67"/>
        <v>Sharon Thompson</v>
      </c>
      <c r="E337" s="1">
        <v>57</v>
      </c>
      <c r="F337" s="1" t="s">
        <v>34</v>
      </c>
      <c r="G337" s="1" t="s">
        <v>213</v>
      </c>
      <c r="H337" s="1" t="s">
        <v>495</v>
      </c>
      <c r="I337" s="1" t="s">
        <v>496</v>
      </c>
      <c r="J337" s="1" t="s">
        <v>1539</v>
      </c>
      <c r="K337" s="2">
        <v>45453</v>
      </c>
      <c r="L337" s="2" t="str">
        <f t="shared" si="68"/>
        <v>June</v>
      </c>
      <c r="M337" s="1" t="s">
        <v>1540</v>
      </c>
      <c r="N337" s="1" t="s">
        <v>934</v>
      </c>
      <c r="O337" s="1">
        <v>107.47</v>
      </c>
      <c r="P337" s="1">
        <v>3</v>
      </c>
      <c r="Q337" s="1">
        <f t="shared" si="69"/>
        <v>322.40999999999997</v>
      </c>
      <c r="R337" s="1" t="s">
        <v>89</v>
      </c>
      <c r="S337" s="1">
        <f t="shared" si="70"/>
        <v>32.241</v>
      </c>
      <c r="T337" s="1">
        <f t="shared" si="71"/>
        <v>290.16899999999998</v>
      </c>
      <c r="U337" s="1">
        <v>4</v>
      </c>
      <c r="V337" s="1">
        <f t="shared" si="72"/>
        <v>349.16899999999998</v>
      </c>
      <c r="W337" s="1">
        <v>59</v>
      </c>
      <c r="X337" s="2">
        <v>45454</v>
      </c>
      <c r="Y337" s="1" t="s">
        <v>1541</v>
      </c>
      <c r="Z337" s="1">
        <f t="shared" si="73"/>
        <v>381.40999999999997</v>
      </c>
      <c r="AA337" s="1">
        <f t="shared" si="74"/>
        <v>1</v>
      </c>
      <c r="AB337" s="1" t="str">
        <f t="shared" si="75"/>
        <v>BeforeTime</v>
      </c>
      <c r="AC337" s="1">
        <f t="shared" si="76"/>
        <v>322.40999999999997</v>
      </c>
      <c r="AD337" s="7">
        <f t="shared" si="77"/>
        <v>0.1</v>
      </c>
      <c r="AE337" s="1">
        <f t="shared" si="78"/>
        <v>32.241</v>
      </c>
      <c r="AF337" s="1">
        <f t="shared" si="79"/>
        <v>91.241</v>
      </c>
    </row>
    <row r="338" spans="1:32" ht="14.25" customHeight="1" x14ac:dyDescent="0.3">
      <c r="A338" s="1" t="s">
        <v>816</v>
      </c>
      <c r="B338" s="1" t="s">
        <v>817</v>
      </c>
      <c r="C338" s="1" t="s">
        <v>818</v>
      </c>
      <c r="D338" s="1" t="str">
        <f t="shared" si="67"/>
        <v>Edward Black</v>
      </c>
      <c r="E338" s="1">
        <v>42</v>
      </c>
      <c r="F338" s="1" t="s">
        <v>22</v>
      </c>
      <c r="G338" s="1" t="s">
        <v>69</v>
      </c>
      <c r="H338" s="1" t="s">
        <v>819</v>
      </c>
      <c r="I338" s="1" t="s">
        <v>820</v>
      </c>
      <c r="J338" s="1" t="s">
        <v>1589</v>
      </c>
      <c r="K338" s="2">
        <v>45474</v>
      </c>
      <c r="L338" s="2" t="str">
        <f t="shared" si="68"/>
        <v>July</v>
      </c>
      <c r="M338" s="1" t="s">
        <v>1590</v>
      </c>
      <c r="N338" s="1" t="s">
        <v>934</v>
      </c>
      <c r="O338" s="1">
        <v>107.47</v>
      </c>
      <c r="P338" s="1">
        <v>3</v>
      </c>
      <c r="Q338" s="1">
        <f t="shared" si="69"/>
        <v>322.40999999999997</v>
      </c>
      <c r="R338" s="1" t="s">
        <v>56</v>
      </c>
      <c r="S338" s="1">
        <f t="shared" si="70"/>
        <v>0</v>
      </c>
      <c r="T338" s="1">
        <f t="shared" si="71"/>
        <v>322.40999999999997</v>
      </c>
      <c r="U338" s="1">
        <v>4</v>
      </c>
      <c r="V338" s="1">
        <f t="shared" si="72"/>
        <v>385.40999999999997</v>
      </c>
      <c r="W338" s="1">
        <v>63</v>
      </c>
      <c r="X338" s="2">
        <v>45481</v>
      </c>
      <c r="Y338" s="1" t="s">
        <v>1591</v>
      </c>
      <c r="Z338" s="1">
        <f t="shared" si="73"/>
        <v>385.40999999999997</v>
      </c>
      <c r="AA338" s="1">
        <f t="shared" si="74"/>
        <v>7</v>
      </c>
      <c r="AB338" s="1" t="str">
        <f t="shared" si="75"/>
        <v>Late</v>
      </c>
      <c r="AC338" s="1">
        <f t="shared" si="76"/>
        <v>322.40999999999997</v>
      </c>
      <c r="AD338" s="7">
        <f t="shared" si="77"/>
        <v>0</v>
      </c>
      <c r="AE338" s="1">
        <f t="shared" si="78"/>
        <v>0</v>
      </c>
      <c r="AF338" s="1">
        <f t="shared" si="79"/>
        <v>0</v>
      </c>
    </row>
    <row r="339" spans="1:32" ht="14.25" customHeight="1" x14ac:dyDescent="0.3">
      <c r="A339" s="1" t="s">
        <v>760</v>
      </c>
      <c r="B339" s="1" t="s">
        <v>761</v>
      </c>
      <c r="C339" s="1" t="s">
        <v>762</v>
      </c>
      <c r="D339" s="1" t="str">
        <f t="shared" si="67"/>
        <v>Kristina Haynes</v>
      </c>
      <c r="E339" s="1">
        <v>27</v>
      </c>
      <c r="F339" s="1" t="s">
        <v>22</v>
      </c>
      <c r="G339" s="1" t="s">
        <v>35</v>
      </c>
      <c r="H339" s="1" t="s">
        <v>763</v>
      </c>
      <c r="I339" s="1" t="s">
        <v>764</v>
      </c>
      <c r="J339" s="1" t="s">
        <v>1542</v>
      </c>
      <c r="K339" s="2">
        <v>45185</v>
      </c>
      <c r="L339" s="2" t="str">
        <f t="shared" si="68"/>
        <v>September</v>
      </c>
      <c r="M339" s="1" t="s">
        <v>1543</v>
      </c>
      <c r="N339" s="1" t="s">
        <v>284</v>
      </c>
      <c r="O339" s="1">
        <v>158.53</v>
      </c>
      <c r="P339" s="1">
        <v>2</v>
      </c>
      <c r="Q339" s="1">
        <f t="shared" si="69"/>
        <v>317.06</v>
      </c>
      <c r="R339" s="1" t="s">
        <v>29</v>
      </c>
      <c r="S339" s="1">
        <f t="shared" si="70"/>
        <v>25.364800000000002</v>
      </c>
      <c r="T339" s="1">
        <f t="shared" si="71"/>
        <v>291.6952</v>
      </c>
      <c r="U339" s="1">
        <v>2</v>
      </c>
      <c r="V339" s="1">
        <f t="shared" si="72"/>
        <v>347.6952</v>
      </c>
      <c r="W339" s="1">
        <v>56</v>
      </c>
      <c r="X339" s="2">
        <v>45187</v>
      </c>
      <c r="Y339" s="1" t="s">
        <v>1544</v>
      </c>
      <c r="Z339" s="1">
        <f t="shared" si="73"/>
        <v>373.06</v>
      </c>
      <c r="AA339" s="1">
        <f t="shared" si="74"/>
        <v>2</v>
      </c>
      <c r="AB339" s="1" t="str">
        <f t="shared" si="75"/>
        <v>Intime</v>
      </c>
      <c r="AC339" s="1">
        <f t="shared" si="76"/>
        <v>317.06</v>
      </c>
      <c r="AD339" s="7">
        <f t="shared" si="77"/>
        <v>0.08</v>
      </c>
      <c r="AE339" s="1">
        <f t="shared" si="78"/>
        <v>25.364800000000002</v>
      </c>
      <c r="AF339" s="1">
        <f t="shared" si="79"/>
        <v>81.364800000000002</v>
      </c>
    </row>
    <row r="340" spans="1:32" ht="14.25" customHeight="1" x14ac:dyDescent="0.3">
      <c r="A340" s="1" t="s">
        <v>1899</v>
      </c>
      <c r="B340" s="1" t="s">
        <v>1900</v>
      </c>
      <c r="C340" s="1" t="s">
        <v>1901</v>
      </c>
      <c r="D340" s="1" t="str">
        <f t="shared" si="67"/>
        <v>Janice Gordon</v>
      </c>
      <c r="E340" s="1">
        <v>43</v>
      </c>
      <c r="F340" s="1" t="s">
        <v>22</v>
      </c>
      <c r="G340" s="1" t="s">
        <v>35</v>
      </c>
      <c r="H340" s="1" t="s">
        <v>1902</v>
      </c>
      <c r="I340" s="1" t="s">
        <v>1903</v>
      </c>
      <c r="J340" s="1" t="s">
        <v>1983</v>
      </c>
      <c r="K340" s="2">
        <v>45259</v>
      </c>
      <c r="L340" s="2" t="str">
        <f t="shared" si="68"/>
        <v>November</v>
      </c>
      <c r="M340" s="1" t="s">
        <v>1984</v>
      </c>
      <c r="N340" s="1" t="s">
        <v>284</v>
      </c>
      <c r="O340" s="1">
        <v>158.53</v>
      </c>
      <c r="P340" s="1">
        <v>2</v>
      </c>
      <c r="Q340" s="1">
        <f t="shared" si="69"/>
        <v>317.06</v>
      </c>
      <c r="R340" s="1" t="s">
        <v>56</v>
      </c>
      <c r="S340" s="1">
        <f t="shared" si="70"/>
        <v>0</v>
      </c>
      <c r="T340" s="1">
        <f t="shared" si="71"/>
        <v>317.06</v>
      </c>
      <c r="U340" s="1">
        <v>5</v>
      </c>
      <c r="V340" s="1">
        <f t="shared" si="72"/>
        <v>386.06</v>
      </c>
      <c r="W340" s="1">
        <v>69</v>
      </c>
      <c r="X340" s="2">
        <v>45261</v>
      </c>
      <c r="Y340" s="1" t="s">
        <v>1985</v>
      </c>
      <c r="Z340" s="1">
        <f t="shared" si="73"/>
        <v>386.06</v>
      </c>
      <c r="AA340" s="1">
        <f t="shared" si="74"/>
        <v>2</v>
      </c>
      <c r="AB340" s="1" t="str">
        <f t="shared" si="75"/>
        <v>BeforeTime</v>
      </c>
      <c r="AC340" s="1">
        <f t="shared" si="76"/>
        <v>317.06</v>
      </c>
      <c r="AD340" s="7">
        <f t="shared" si="77"/>
        <v>0</v>
      </c>
      <c r="AE340" s="1">
        <f t="shared" si="78"/>
        <v>0</v>
      </c>
      <c r="AF340" s="1">
        <f t="shared" si="79"/>
        <v>0</v>
      </c>
    </row>
    <row r="341" spans="1:32" ht="14.25" customHeight="1" x14ac:dyDescent="0.3">
      <c r="A341" s="1" t="s">
        <v>1096</v>
      </c>
      <c r="B341" s="1" t="s">
        <v>1097</v>
      </c>
      <c r="C341" s="1" t="s">
        <v>1098</v>
      </c>
      <c r="D341" s="1" t="str">
        <f t="shared" si="67"/>
        <v>Gary Huff</v>
      </c>
      <c r="E341" s="1">
        <v>18</v>
      </c>
      <c r="F341" s="1" t="s">
        <v>22</v>
      </c>
      <c r="G341" s="1" t="s">
        <v>69</v>
      </c>
      <c r="H341" s="1" t="s">
        <v>1099</v>
      </c>
      <c r="I341" s="1" t="s">
        <v>1100</v>
      </c>
      <c r="J341" s="1" t="s">
        <v>1158</v>
      </c>
      <c r="K341" s="2">
        <v>45392</v>
      </c>
      <c r="L341" s="2" t="str">
        <f t="shared" si="68"/>
        <v>April</v>
      </c>
      <c r="M341" s="1" t="s">
        <v>1159</v>
      </c>
      <c r="N341" s="1" t="s">
        <v>280</v>
      </c>
      <c r="O341" s="1">
        <v>157.63999999999999</v>
      </c>
      <c r="P341" s="1">
        <v>2</v>
      </c>
      <c r="Q341" s="1">
        <f t="shared" si="69"/>
        <v>315.27999999999997</v>
      </c>
      <c r="R341" s="1" t="s">
        <v>51</v>
      </c>
      <c r="S341" s="1">
        <f t="shared" si="70"/>
        <v>47.291999999999994</v>
      </c>
      <c r="T341" s="1">
        <f t="shared" si="71"/>
        <v>267.988</v>
      </c>
      <c r="U341" s="1">
        <v>5</v>
      </c>
      <c r="V341" s="1">
        <f t="shared" si="72"/>
        <v>331.988</v>
      </c>
      <c r="W341" s="1">
        <v>64</v>
      </c>
      <c r="X341" s="2">
        <v>45395</v>
      </c>
      <c r="Y341" s="1" t="s">
        <v>1160</v>
      </c>
      <c r="Z341" s="1">
        <f t="shared" si="73"/>
        <v>379.28</v>
      </c>
      <c r="AA341" s="1">
        <f t="shared" si="74"/>
        <v>3</v>
      </c>
      <c r="AB341" s="1" t="str">
        <f t="shared" si="75"/>
        <v>BeforeTime</v>
      </c>
      <c r="AC341" s="1">
        <f t="shared" si="76"/>
        <v>315.27999999999997</v>
      </c>
      <c r="AD341" s="7">
        <f t="shared" si="77"/>
        <v>0.15</v>
      </c>
      <c r="AE341" s="1">
        <f t="shared" si="78"/>
        <v>47.291999999999994</v>
      </c>
      <c r="AF341" s="1">
        <f t="shared" si="79"/>
        <v>111.292</v>
      </c>
    </row>
    <row r="342" spans="1:32" ht="14.25" customHeight="1" x14ac:dyDescent="0.3">
      <c r="A342" s="1" t="s">
        <v>265</v>
      </c>
      <c r="B342" s="1" t="s">
        <v>266</v>
      </c>
      <c r="C342" s="1" t="s">
        <v>267</v>
      </c>
      <c r="D342" s="1" t="str">
        <f t="shared" si="67"/>
        <v>Lauren Long</v>
      </c>
      <c r="E342" s="1">
        <v>44</v>
      </c>
      <c r="F342" s="1" t="s">
        <v>22</v>
      </c>
      <c r="G342" s="1" t="s">
        <v>213</v>
      </c>
      <c r="H342" s="1" t="s">
        <v>268</v>
      </c>
      <c r="I342" s="1" t="s">
        <v>269</v>
      </c>
      <c r="J342" s="1" t="s">
        <v>1279</v>
      </c>
      <c r="K342" s="2">
        <v>45547</v>
      </c>
      <c r="L342" s="2" t="str">
        <f t="shared" si="68"/>
        <v>September</v>
      </c>
      <c r="M342" s="1" t="s">
        <v>1280</v>
      </c>
      <c r="N342" s="1" t="s">
        <v>280</v>
      </c>
      <c r="O342" s="1">
        <v>157.63999999999999</v>
      </c>
      <c r="P342" s="1">
        <v>2</v>
      </c>
      <c r="Q342" s="1">
        <f t="shared" si="69"/>
        <v>315.27999999999997</v>
      </c>
      <c r="R342" s="1" t="s">
        <v>29</v>
      </c>
      <c r="S342" s="1">
        <f t="shared" si="70"/>
        <v>25.222399999999997</v>
      </c>
      <c r="T342" s="1">
        <f t="shared" si="71"/>
        <v>290.05759999999998</v>
      </c>
      <c r="U342" s="1">
        <v>1</v>
      </c>
      <c r="V342" s="1">
        <f t="shared" si="72"/>
        <v>346.05759999999998</v>
      </c>
      <c r="W342" s="1">
        <v>56</v>
      </c>
      <c r="X342" s="2">
        <v>45552</v>
      </c>
      <c r="Y342" s="1" t="s">
        <v>1281</v>
      </c>
      <c r="Z342" s="1">
        <f t="shared" si="73"/>
        <v>371.28</v>
      </c>
      <c r="AA342" s="1">
        <f t="shared" si="74"/>
        <v>5</v>
      </c>
      <c r="AB342" s="1" t="str">
        <f t="shared" si="75"/>
        <v>Late</v>
      </c>
      <c r="AC342" s="1">
        <f t="shared" si="76"/>
        <v>315.27999999999997</v>
      </c>
      <c r="AD342" s="7">
        <f t="shared" si="77"/>
        <v>0.08</v>
      </c>
      <c r="AE342" s="1">
        <f t="shared" si="78"/>
        <v>25.222399999999997</v>
      </c>
      <c r="AF342" s="1">
        <f t="shared" si="79"/>
        <v>81.222399999999993</v>
      </c>
    </row>
    <row r="343" spans="1:32" ht="14.25" customHeight="1" x14ac:dyDescent="0.3">
      <c r="A343" s="1" t="s">
        <v>1300</v>
      </c>
      <c r="B343" s="1" t="s">
        <v>1301</v>
      </c>
      <c r="C343" s="1" t="s">
        <v>1302</v>
      </c>
      <c r="D343" s="1" t="str">
        <f t="shared" si="67"/>
        <v>Megan Hunt</v>
      </c>
      <c r="E343" s="1">
        <v>63</v>
      </c>
      <c r="F343" s="1" t="s">
        <v>22</v>
      </c>
      <c r="G343" s="1" t="s">
        <v>161</v>
      </c>
      <c r="H343" s="1" t="s">
        <v>1303</v>
      </c>
      <c r="I343" s="1" t="s">
        <v>1304</v>
      </c>
      <c r="J343" s="1" t="s">
        <v>1305</v>
      </c>
      <c r="K343" s="2">
        <v>45083</v>
      </c>
      <c r="L343" s="2" t="str">
        <f t="shared" si="68"/>
        <v>June</v>
      </c>
      <c r="M343" s="1" t="s">
        <v>1306</v>
      </c>
      <c r="N343" s="1" t="s">
        <v>280</v>
      </c>
      <c r="O343" s="1">
        <v>157.63999999999999</v>
      </c>
      <c r="P343" s="1">
        <v>2</v>
      </c>
      <c r="Q343" s="1">
        <f t="shared" si="69"/>
        <v>315.27999999999997</v>
      </c>
      <c r="R343" s="1" t="s">
        <v>29</v>
      </c>
      <c r="S343" s="1">
        <f t="shared" si="70"/>
        <v>25.222399999999997</v>
      </c>
      <c r="T343" s="1">
        <f t="shared" si="71"/>
        <v>290.05759999999998</v>
      </c>
      <c r="U343" s="1">
        <v>4</v>
      </c>
      <c r="V343" s="1">
        <f t="shared" si="72"/>
        <v>351.05759999999998</v>
      </c>
      <c r="W343" s="1">
        <v>61</v>
      </c>
      <c r="X343" s="2">
        <v>45090</v>
      </c>
      <c r="Y343" s="1" t="s">
        <v>1307</v>
      </c>
      <c r="Z343" s="1">
        <f t="shared" si="73"/>
        <v>376.28</v>
      </c>
      <c r="AA343" s="1">
        <f t="shared" si="74"/>
        <v>7</v>
      </c>
      <c r="AB343" s="1" t="str">
        <f t="shared" si="75"/>
        <v>Late</v>
      </c>
      <c r="AC343" s="1">
        <f t="shared" si="76"/>
        <v>315.27999999999997</v>
      </c>
      <c r="AD343" s="7">
        <f t="shared" si="77"/>
        <v>0.08</v>
      </c>
      <c r="AE343" s="1">
        <f t="shared" si="78"/>
        <v>25.222399999999997</v>
      </c>
      <c r="AF343" s="1">
        <f t="shared" si="79"/>
        <v>86.222399999999993</v>
      </c>
    </row>
    <row r="344" spans="1:32" ht="14.25" customHeight="1" x14ac:dyDescent="0.3">
      <c r="A344" s="1" t="s">
        <v>1450</v>
      </c>
      <c r="B344" s="1" t="s">
        <v>266</v>
      </c>
      <c r="C344" s="1" t="s">
        <v>1451</v>
      </c>
      <c r="D344" s="1" t="str">
        <f t="shared" si="67"/>
        <v>Lauren Lane</v>
      </c>
      <c r="E344" s="1">
        <v>30</v>
      </c>
      <c r="F344" s="1" t="s">
        <v>22</v>
      </c>
      <c r="G344" s="1" t="s">
        <v>213</v>
      </c>
      <c r="H344" s="1" t="s">
        <v>1452</v>
      </c>
      <c r="I344" s="1" t="s">
        <v>1453</v>
      </c>
      <c r="J344" s="1" t="s">
        <v>1454</v>
      </c>
      <c r="K344" s="2">
        <v>45400</v>
      </c>
      <c r="L344" s="2" t="str">
        <f t="shared" si="68"/>
        <v>April</v>
      </c>
      <c r="M344" s="1" t="s">
        <v>1455</v>
      </c>
      <c r="N344" s="1" t="s">
        <v>280</v>
      </c>
      <c r="O344" s="1">
        <v>157.63999999999999</v>
      </c>
      <c r="P344" s="1">
        <v>2</v>
      </c>
      <c r="Q344" s="1">
        <f t="shared" si="69"/>
        <v>315.27999999999997</v>
      </c>
      <c r="R344" s="1" t="s">
        <v>78</v>
      </c>
      <c r="S344" s="1">
        <f t="shared" si="70"/>
        <v>63.055999999999997</v>
      </c>
      <c r="T344" s="1">
        <f t="shared" si="71"/>
        <v>252.22399999999999</v>
      </c>
      <c r="U344" s="1">
        <v>1</v>
      </c>
      <c r="V344" s="1">
        <f t="shared" si="72"/>
        <v>309.22399999999999</v>
      </c>
      <c r="W344" s="1">
        <v>57</v>
      </c>
      <c r="X344" s="2">
        <v>45401</v>
      </c>
      <c r="Y344" s="1" t="s">
        <v>1456</v>
      </c>
      <c r="Z344" s="1">
        <f t="shared" si="73"/>
        <v>372.28</v>
      </c>
      <c r="AA344" s="1">
        <f t="shared" si="74"/>
        <v>1</v>
      </c>
      <c r="AB344" s="1" t="str">
        <f t="shared" si="75"/>
        <v>Intime</v>
      </c>
      <c r="AC344" s="1">
        <f t="shared" si="76"/>
        <v>315.27999999999997</v>
      </c>
      <c r="AD344" s="7">
        <f t="shared" si="77"/>
        <v>0.2</v>
      </c>
      <c r="AE344" s="1">
        <f t="shared" si="78"/>
        <v>63.055999999999997</v>
      </c>
      <c r="AF344" s="1">
        <f t="shared" si="79"/>
        <v>120.056</v>
      </c>
    </row>
    <row r="345" spans="1:32" ht="14.25" customHeight="1" x14ac:dyDescent="0.3">
      <c r="A345" s="1" t="s">
        <v>130</v>
      </c>
      <c r="B345" s="1" t="s">
        <v>131</v>
      </c>
      <c r="C345" s="1" t="s">
        <v>132</v>
      </c>
      <c r="D345" s="1" t="str">
        <f t="shared" si="67"/>
        <v>Kara Brennan</v>
      </c>
      <c r="E345" s="1">
        <v>25</v>
      </c>
      <c r="F345" s="1" t="s">
        <v>45</v>
      </c>
      <c r="G345" s="1" t="s">
        <v>133</v>
      </c>
      <c r="H345" s="1" t="s">
        <v>134</v>
      </c>
      <c r="I345" s="1" t="s">
        <v>135</v>
      </c>
      <c r="J345" s="1" t="s">
        <v>1823</v>
      </c>
      <c r="K345" s="2">
        <v>45271</v>
      </c>
      <c r="L345" s="2" t="str">
        <f t="shared" si="68"/>
        <v>December</v>
      </c>
      <c r="M345" s="1" t="s">
        <v>1824</v>
      </c>
      <c r="N345" s="1" t="s">
        <v>280</v>
      </c>
      <c r="O345" s="1">
        <v>157.63999999999999</v>
      </c>
      <c r="P345" s="1">
        <v>2</v>
      </c>
      <c r="Q345" s="1">
        <f t="shared" si="69"/>
        <v>315.27999999999997</v>
      </c>
      <c r="R345" s="1" t="s">
        <v>56</v>
      </c>
      <c r="S345" s="1">
        <f t="shared" si="70"/>
        <v>0</v>
      </c>
      <c r="T345" s="1">
        <f t="shared" si="71"/>
        <v>315.27999999999997</v>
      </c>
      <c r="U345" s="1">
        <v>5</v>
      </c>
      <c r="V345" s="1">
        <f t="shared" si="72"/>
        <v>372.28</v>
      </c>
      <c r="W345" s="1">
        <v>57</v>
      </c>
      <c r="X345" s="2">
        <v>45277</v>
      </c>
      <c r="Y345" s="1" t="s">
        <v>1825</v>
      </c>
      <c r="Z345" s="1">
        <f t="shared" si="73"/>
        <v>372.28</v>
      </c>
      <c r="AA345" s="1">
        <f t="shared" si="74"/>
        <v>6</v>
      </c>
      <c r="AB345" s="1" t="str">
        <f t="shared" si="75"/>
        <v>Late</v>
      </c>
      <c r="AC345" s="1">
        <f t="shared" si="76"/>
        <v>315.27999999999997</v>
      </c>
      <c r="AD345" s="7">
        <f t="shared" si="77"/>
        <v>0</v>
      </c>
      <c r="AE345" s="1">
        <f t="shared" si="78"/>
        <v>0</v>
      </c>
      <c r="AF345" s="1">
        <f t="shared" si="79"/>
        <v>0</v>
      </c>
    </row>
    <row r="346" spans="1:32" ht="14.25" customHeight="1" x14ac:dyDescent="0.3">
      <c r="A346" s="1" t="s">
        <v>342</v>
      </c>
      <c r="B346" s="1" t="s">
        <v>343</v>
      </c>
      <c r="C346" s="1" t="s">
        <v>344</v>
      </c>
      <c r="D346" s="1" t="str">
        <f t="shared" si="67"/>
        <v>Donna Oneill</v>
      </c>
      <c r="E346" s="1">
        <v>70</v>
      </c>
      <c r="F346" s="1" t="s">
        <v>22</v>
      </c>
      <c r="G346" s="1" t="s">
        <v>161</v>
      </c>
      <c r="H346" s="1" t="s">
        <v>345</v>
      </c>
      <c r="I346" s="1" t="s">
        <v>346</v>
      </c>
      <c r="J346" s="1" t="s">
        <v>1850</v>
      </c>
      <c r="K346" s="2">
        <v>45145</v>
      </c>
      <c r="L346" s="2" t="str">
        <f t="shared" si="68"/>
        <v>August</v>
      </c>
      <c r="M346" s="1" t="s">
        <v>1851</v>
      </c>
      <c r="N346" s="1" t="s">
        <v>280</v>
      </c>
      <c r="O346" s="1">
        <v>157.63999999999999</v>
      </c>
      <c r="P346" s="1">
        <v>2</v>
      </c>
      <c r="Q346" s="1">
        <f t="shared" si="69"/>
        <v>315.27999999999997</v>
      </c>
      <c r="R346" s="1" t="s">
        <v>89</v>
      </c>
      <c r="S346" s="1">
        <f t="shared" si="70"/>
        <v>31.527999999999999</v>
      </c>
      <c r="T346" s="1">
        <f t="shared" si="71"/>
        <v>283.75199999999995</v>
      </c>
      <c r="U346" s="1">
        <v>6</v>
      </c>
      <c r="V346" s="1">
        <f t="shared" si="72"/>
        <v>348.75199999999995</v>
      </c>
      <c r="W346" s="1">
        <v>65</v>
      </c>
      <c r="X346" s="2">
        <v>45148</v>
      </c>
      <c r="Y346" s="1" t="s">
        <v>1852</v>
      </c>
      <c r="Z346" s="1">
        <f t="shared" si="73"/>
        <v>380.28</v>
      </c>
      <c r="AA346" s="1">
        <f t="shared" si="74"/>
        <v>3</v>
      </c>
      <c r="AB346" s="1" t="str">
        <f t="shared" si="75"/>
        <v>BeforeTime</v>
      </c>
      <c r="AC346" s="1">
        <f t="shared" si="76"/>
        <v>315.27999999999997</v>
      </c>
      <c r="AD346" s="7">
        <f t="shared" si="77"/>
        <v>0.1</v>
      </c>
      <c r="AE346" s="1">
        <f t="shared" si="78"/>
        <v>31.527999999999999</v>
      </c>
      <c r="AF346" s="1">
        <f t="shared" si="79"/>
        <v>96.527999999999992</v>
      </c>
    </row>
    <row r="347" spans="1:32" ht="14.25" customHeight="1" x14ac:dyDescent="0.3">
      <c r="A347" s="1" t="s">
        <v>1311</v>
      </c>
      <c r="B347" s="1" t="s">
        <v>1312</v>
      </c>
      <c r="C347" s="1" t="s">
        <v>1313</v>
      </c>
      <c r="D347" s="1" t="str">
        <f t="shared" si="67"/>
        <v>Jared Horn</v>
      </c>
      <c r="E347" s="1">
        <v>43</v>
      </c>
      <c r="F347" s="1" t="s">
        <v>22</v>
      </c>
      <c r="G347" s="1" t="s">
        <v>133</v>
      </c>
      <c r="H347" s="1" t="s">
        <v>1314</v>
      </c>
      <c r="I347" s="1" t="s">
        <v>1315</v>
      </c>
      <c r="J347" s="1" t="s">
        <v>1586</v>
      </c>
      <c r="K347" s="2">
        <v>45397</v>
      </c>
      <c r="L347" s="2" t="str">
        <f t="shared" si="68"/>
        <v>April</v>
      </c>
      <c r="M347" s="1" t="s">
        <v>1587</v>
      </c>
      <c r="N347" s="1" t="s">
        <v>175</v>
      </c>
      <c r="O347" s="1">
        <v>104.18</v>
      </c>
      <c r="P347" s="1">
        <v>3</v>
      </c>
      <c r="Q347" s="1">
        <f t="shared" si="69"/>
        <v>312.54000000000002</v>
      </c>
      <c r="R347" s="1" t="s">
        <v>89</v>
      </c>
      <c r="S347" s="1">
        <f t="shared" si="70"/>
        <v>31.254000000000005</v>
      </c>
      <c r="T347" s="1">
        <f t="shared" si="71"/>
        <v>281.286</v>
      </c>
      <c r="U347" s="1">
        <v>6</v>
      </c>
      <c r="V347" s="1">
        <f t="shared" si="72"/>
        <v>341.286</v>
      </c>
      <c r="W347" s="1">
        <v>60</v>
      </c>
      <c r="X347" s="2">
        <v>45398</v>
      </c>
      <c r="Y347" s="1" t="s">
        <v>1588</v>
      </c>
      <c r="Z347" s="1">
        <f t="shared" si="73"/>
        <v>372.54</v>
      </c>
      <c r="AA347" s="1">
        <f t="shared" si="74"/>
        <v>1</v>
      </c>
      <c r="AB347" s="1" t="str">
        <f t="shared" si="75"/>
        <v>BeforeTime</v>
      </c>
      <c r="AC347" s="1">
        <f t="shared" si="76"/>
        <v>312.54000000000002</v>
      </c>
      <c r="AD347" s="7">
        <f t="shared" si="77"/>
        <v>0.1</v>
      </c>
      <c r="AE347" s="1">
        <f t="shared" si="78"/>
        <v>31.254000000000005</v>
      </c>
      <c r="AF347" s="1">
        <f t="shared" si="79"/>
        <v>91.254000000000005</v>
      </c>
    </row>
    <row r="348" spans="1:32" ht="14.25" customHeight="1" x14ac:dyDescent="0.3">
      <c r="A348" s="1" t="s">
        <v>31</v>
      </c>
      <c r="B348" s="1" t="s">
        <v>32</v>
      </c>
      <c r="C348" s="1" t="s">
        <v>33</v>
      </c>
      <c r="D348" s="1" t="str">
        <f t="shared" si="67"/>
        <v>Anthony Thomas</v>
      </c>
      <c r="E348" s="1">
        <v>53</v>
      </c>
      <c r="F348" s="1" t="s">
        <v>34</v>
      </c>
      <c r="G348" s="1" t="s">
        <v>35</v>
      </c>
      <c r="H348" s="1" t="s">
        <v>36</v>
      </c>
      <c r="I348" s="1" t="s">
        <v>37</v>
      </c>
      <c r="J348" s="1" t="s">
        <v>1878</v>
      </c>
      <c r="K348" s="2">
        <v>45684</v>
      </c>
      <c r="L348" s="2" t="str">
        <f t="shared" si="68"/>
        <v>January</v>
      </c>
      <c r="M348" s="1" t="s">
        <v>1879</v>
      </c>
      <c r="N348" s="1" t="s">
        <v>263</v>
      </c>
      <c r="O348" s="1">
        <v>62.42</v>
      </c>
      <c r="P348" s="1">
        <v>5</v>
      </c>
      <c r="Q348" s="1">
        <f t="shared" si="69"/>
        <v>312.10000000000002</v>
      </c>
      <c r="R348" s="1" t="s">
        <v>51</v>
      </c>
      <c r="S348" s="1">
        <f t="shared" si="70"/>
        <v>46.815000000000005</v>
      </c>
      <c r="T348" s="1">
        <f t="shared" si="71"/>
        <v>265.28500000000003</v>
      </c>
      <c r="U348" s="1">
        <v>6</v>
      </c>
      <c r="V348" s="1">
        <f t="shared" si="72"/>
        <v>334.28500000000003</v>
      </c>
      <c r="W348" s="1">
        <v>69</v>
      </c>
      <c r="X348" s="2">
        <v>45690</v>
      </c>
      <c r="Y348" s="1" t="s">
        <v>1880</v>
      </c>
      <c r="Z348" s="1">
        <f t="shared" si="73"/>
        <v>381.1</v>
      </c>
      <c r="AA348" s="1">
        <f t="shared" si="74"/>
        <v>6</v>
      </c>
      <c r="AB348" s="1" t="str">
        <f t="shared" si="75"/>
        <v>Intime</v>
      </c>
      <c r="AC348" s="1">
        <f t="shared" si="76"/>
        <v>312.10000000000002</v>
      </c>
      <c r="AD348" s="7">
        <f t="shared" si="77"/>
        <v>0.15</v>
      </c>
      <c r="AE348" s="1">
        <f t="shared" si="78"/>
        <v>46.815000000000005</v>
      </c>
      <c r="AF348" s="1">
        <f t="shared" si="79"/>
        <v>115.815</v>
      </c>
    </row>
    <row r="349" spans="1:32" ht="14.25" customHeight="1" x14ac:dyDescent="0.3">
      <c r="A349" s="1" t="s">
        <v>1607</v>
      </c>
      <c r="B349" s="1" t="s">
        <v>266</v>
      </c>
      <c r="C349" s="1" t="s">
        <v>1608</v>
      </c>
      <c r="D349" s="1" t="str">
        <f t="shared" si="67"/>
        <v>Lauren Crane</v>
      </c>
      <c r="E349" s="1">
        <v>62</v>
      </c>
      <c r="F349" s="1" t="s">
        <v>34</v>
      </c>
      <c r="G349" s="1" t="s">
        <v>35</v>
      </c>
      <c r="H349" s="1" t="s">
        <v>1609</v>
      </c>
      <c r="I349" s="1" t="s">
        <v>1610</v>
      </c>
      <c r="J349" s="1" t="s">
        <v>1957</v>
      </c>
      <c r="K349" s="2">
        <v>45451</v>
      </c>
      <c r="L349" s="2" t="str">
        <f t="shared" si="68"/>
        <v>June</v>
      </c>
      <c r="M349" s="1" t="s">
        <v>1958</v>
      </c>
      <c r="N349" s="1" t="s">
        <v>263</v>
      </c>
      <c r="O349" s="1">
        <v>62.42</v>
      </c>
      <c r="P349" s="1">
        <v>5</v>
      </c>
      <c r="Q349" s="1">
        <f t="shared" si="69"/>
        <v>312.10000000000002</v>
      </c>
      <c r="R349" s="1" t="s">
        <v>56</v>
      </c>
      <c r="S349" s="1">
        <f t="shared" si="70"/>
        <v>0</v>
      </c>
      <c r="T349" s="1">
        <f t="shared" si="71"/>
        <v>312.10000000000002</v>
      </c>
      <c r="U349" s="1">
        <v>2</v>
      </c>
      <c r="V349" s="1">
        <f t="shared" si="72"/>
        <v>359.1</v>
      </c>
      <c r="W349" s="1">
        <v>47</v>
      </c>
      <c r="X349" s="2">
        <v>45453</v>
      </c>
      <c r="Y349" s="1" t="s">
        <v>1959</v>
      </c>
      <c r="Z349" s="1">
        <f t="shared" si="73"/>
        <v>359.1</v>
      </c>
      <c r="AA349" s="1">
        <f t="shared" si="74"/>
        <v>2</v>
      </c>
      <c r="AB349" s="1" t="str">
        <f t="shared" si="75"/>
        <v>Intime</v>
      </c>
      <c r="AC349" s="1">
        <f t="shared" si="76"/>
        <v>312.10000000000002</v>
      </c>
      <c r="AD349" s="7">
        <f t="shared" si="77"/>
        <v>0</v>
      </c>
      <c r="AE349" s="1">
        <f t="shared" si="78"/>
        <v>0</v>
      </c>
      <c r="AF349" s="1">
        <f t="shared" si="79"/>
        <v>0</v>
      </c>
    </row>
    <row r="350" spans="1:32" ht="14.25" customHeight="1" x14ac:dyDescent="0.3">
      <c r="A350" s="1" t="s">
        <v>493</v>
      </c>
      <c r="B350" s="1" t="s">
        <v>494</v>
      </c>
      <c r="C350" s="1" t="s">
        <v>380</v>
      </c>
      <c r="D350" s="1" t="str">
        <f t="shared" si="67"/>
        <v>Sharon Thompson</v>
      </c>
      <c r="E350" s="1">
        <v>57</v>
      </c>
      <c r="F350" s="1" t="s">
        <v>34</v>
      </c>
      <c r="G350" s="1" t="s">
        <v>213</v>
      </c>
      <c r="H350" s="1" t="s">
        <v>495</v>
      </c>
      <c r="I350" s="1" t="s">
        <v>496</v>
      </c>
      <c r="J350" s="1" t="s">
        <v>1580</v>
      </c>
      <c r="K350" s="2">
        <v>45479</v>
      </c>
      <c r="L350" s="2" t="str">
        <f t="shared" si="68"/>
        <v>July</v>
      </c>
      <c r="M350" s="1" t="s">
        <v>1581</v>
      </c>
      <c r="N350" s="1" t="s">
        <v>333</v>
      </c>
      <c r="O350" s="1">
        <v>77.84</v>
      </c>
      <c r="P350" s="1">
        <v>4</v>
      </c>
      <c r="Q350" s="1">
        <f t="shared" si="69"/>
        <v>311.36</v>
      </c>
      <c r="R350" s="1" t="s">
        <v>78</v>
      </c>
      <c r="S350" s="1">
        <f t="shared" si="70"/>
        <v>62.272000000000006</v>
      </c>
      <c r="T350" s="1">
        <f t="shared" si="71"/>
        <v>249.08800000000002</v>
      </c>
      <c r="U350" s="1">
        <v>2</v>
      </c>
      <c r="V350" s="1">
        <f t="shared" si="72"/>
        <v>308.08800000000002</v>
      </c>
      <c r="W350" s="1">
        <v>59</v>
      </c>
      <c r="X350" s="2">
        <v>45485</v>
      </c>
      <c r="Y350" s="1" t="s">
        <v>1582</v>
      </c>
      <c r="Z350" s="1">
        <f t="shared" si="73"/>
        <v>370.36</v>
      </c>
      <c r="AA350" s="1">
        <f t="shared" si="74"/>
        <v>6</v>
      </c>
      <c r="AB350" s="1" t="str">
        <f t="shared" si="75"/>
        <v>Late</v>
      </c>
      <c r="AC350" s="1">
        <f t="shared" si="76"/>
        <v>311.36</v>
      </c>
      <c r="AD350" s="7">
        <f t="shared" si="77"/>
        <v>0.2</v>
      </c>
      <c r="AE350" s="1">
        <f t="shared" si="78"/>
        <v>62.272000000000006</v>
      </c>
      <c r="AF350" s="1">
        <f t="shared" si="79"/>
        <v>121.27200000000001</v>
      </c>
    </row>
    <row r="351" spans="1:32" ht="14.25" customHeight="1" x14ac:dyDescent="0.3">
      <c r="A351" s="1" t="s">
        <v>286</v>
      </c>
      <c r="B351" s="1" t="s">
        <v>287</v>
      </c>
      <c r="C351" s="1" t="s">
        <v>288</v>
      </c>
      <c r="D351" s="1" t="str">
        <f t="shared" si="67"/>
        <v>Heather Schneider</v>
      </c>
      <c r="E351" s="1">
        <v>48</v>
      </c>
      <c r="F351" s="1" t="s">
        <v>34</v>
      </c>
      <c r="G351" s="1" t="s">
        <v>83</v>
      </c>
      <c r="H351" s="1" t="s">
        <v>289</v>
      </c>
      <c r="I351" s="1" t="s">
        <v>290</v>
      </c>
      <c r="J351" s="1" t="s">
        <v>1963</v>
      </c>
      <c r="K351" s="2">
        <v>45283</v>
      </c>
      <c r="L351" s="2" t="str">
        <f t="shared" si="68"/>
        <v>December</v>
      </c>
      <c r="M351" s="1" t="s">
        <v>1964</v>
      </c>
      <c r="N351" s="1" t="s">
        <v>333</v>
      </c>
      <c r="O351" s="1">
        <v>77.84</v>
      </c>
      <c r="P351" s="1">
        <v>4</v>
      </c>
      <c r="Q351" s="1">
        <f t="shared" si="69"/>
        <v>311.36</v>
      </c>
      <c r="R351" s="1" t="s">
        <v>78</v>
      </c>
      <c r="S351" s="1">
        <f t="shared" si="70"/>
        <v>62.272000000000006</v>
      </c>
      <c r="T351" s="1">
        <f t="shared" si="71"/>
        <v>249.08800000000002</v>
      </c>
      <c r="U351" s="1">
        <v>5</v>
      </c>
      <c r="V351" s="1">
        <f t="shared" si="72"/>
        <v>304.08800000000002</v>
      </c>
      <c r="W351" s="1">
        <v>55</v>
      </c>
      <c r="X351" s="2">
        <v>45286</v>
      </c>
      <c r="Y351" s="1" t="s">
        <v>1965</v>
      </c>
      <c r="Z351" s="1">
        <f t="shared" si="73"/>
        <v>366.36</v>
      </c>
      <c r="AA351" s="1">
        <f t="shared" si="74"/>
        <v>3</v>
      </c>
      <c r="AB351" s="1" t="str">
        <f t="shared" si="75"/>
        <v>BeforeTime</v>
      </c>
      <c r="AC351" s="1">
        <f t="shared" si="76"/>
        <v>311.36</v>
      </c>
      <c r="AD351" s="7">
        <f t="shared" si="77"/>
        <v>0.2</v>
      </c>
      <c r="AE351" s="1">
        <f t="shared" si="78"/>
        <v>62.272000000000006</v>
      </c>
      <c r="AF351" s="1">
        <f t="shared" si="79"/>
        <v>117.27200000000001</v>
      </c>
    </row>
    <row r="352" spans="1:32" ht="14.25" customHeight="1" x14ac:dyDescent="0.3">
      <c r="A352" s="1" t="s">
        <v>19</v>
      </c>
      <c r="B352" s="1" t="s">
        <v>20</v>
      </c>
      <c r="C352" s="1" t="s">
        <v>21</v>
      </c>
      <c r="D352" s="1" t="str">
        <f t="shared" si="67"/>
        <v>Anne Oconnell</v>
      </c>
      <c r="E352" s="1">
        <v>37</v>
      </c>
      <c r="F352" s="1" t="s">
        <v>22</v>
      </c>
      <c r="G352" s="1" t="s">
        <v>23</v>
      </c>
      <c r="H352" s="1" t="s">
        <v>24</v>
      </c>
      <c r="I352" s="1" t="s">
        <v>25</v>
      </c>
      <c r="J352" s="1" t="s">
        <v>536</v>
      </c>
      <c r="K352" s="2">
        <v>45567</v>
      </c>
      <c r="L352" s="2" t="str">
        <f t="shared" si="68"/>
        <v>October</v>
      </c>
      <c r="M352" s="1" t="s">
        <v>537</v>
      </c>
      <c r="N352" s="1" t="s">
        <v>28</v>
      </c>
      <c r="O352" s="1">
        <v>308.88</v>
      </c>
      <c r="P352" s="1">
        <v>1</v>
      </c>
      <c r="Q352" s="1">
        <f t="shared" si="69"/>
        <v>308.88</v>
      </c>
      <c r="R352" s="1" t="s">
        <v>56</v>
      </c>
      <c r="S352" s="1">
        <f t="shared" si="70"/>
        <v>0</v>
      </c>
      <c r="T352" s="1">
        <f t="shared" si="71"/>
        <v>308.88</v>
      </c>
      <c r="U352" s="1">
        <v>6</v>
      </c>
      <c r="V352" s="1">
        <f t="shared" si="72"/>
        <v>370.88</v>
      </c>
      <c r="W352" s="1">
        <v>62</v>
      </c>
      <c r="X352" s="2">
        <v>45569</v>
      </c>
      <c r="Y352" s="1" t="s">
        <v>538</v>
      </c>
      <c r="Z352" s="1">
        <f t="shared" si="73"/>
        <v>370.88</v>
      </c>
      <c r="AA352" s="1">
        <f t="shared" si="74"/>
        <v>2</v>
      </c>
      <c r="AB352" s="1" t="str">
        <f t="shared" si="75"/>
        <v>BeforeTime</v>
      </c>
      <c r="AC352" s="1">
        <f t="shared" si="76"/>
        <v>308.88</v>
      </c>
      <c r="AD352" s="7">
        <f t="shared" si="77"/>
        <v>0</v>
      </c>
      <c r="AE352" s="1">
        <f t="shared" si="78"/>
        <v>0</v>
      </c>
      <c r="AF352" s="1">
        <f t="shared" si="79"/>
        <v>0</v>
      </c>
    </row>
    <row r="353" spans="1:32" ht="14.25" customHeight="1" x14ac:dyDescent="0.3">
      <c r="A353" s="1" t="s">
        <v>210</v>
      </c>
      <c r="B353" s="1" t="s">
        <v>211</v>
      </c>
      <c r="C353" s="1" t="s">
        <v>212</v>
      </c>
      <c r="D353" s="1" t="str">
        <f t="shared" si="67"/>
        <v>Mark Henderson</v>
      </c>
      <c r="E353" s="1">
        <v>33</v>
      </c>
      <c r="F353" s="1" t="s">
        <v>45</v>
      </c>
      <c r="G353" s="1" t="s">
        <v>213</v>
      </c>
      <c r="H353" s="1" t="s">
        <v>214</v>
      </c>
      <c r="I353" s="1" t="s">
        <v>215</v>
      </c>
      <c r="J353" s="1" t="s">
        <v>548</v>
      </c>
      <c r="K353" s="2">
        <v>45355</v>
      </c>
      <c r="L353" s="2" t="str">
        <f t="shared" si="68"/>
        <v>March</v>
      </c>
      <c r="M353" s="1" t="s">
        <v>549</v>
      </c>
      <c r="N353" s="1" t="s">
        <v>28</v>
      </c>
      <c r="O353" s="1">
        <v>308.88</v>
      </c>
      <c r="P353" s="1">
        <v>1</v>
      </c>
      <c r="Q353" s="1">
        <f t="shared" si="69"/>
        <v>308.88</v>
      </c>
      <c r="R353" s="1" t="s">
        <v>89</v>
      </c>
      <c r="S353" s="1">
        <f t="shared" si="70"/>
        <v>30.888000000000002</v>
      </c>
      <c r="T353" s="1">
        <f t="shared" si="71"/>
        <v>277.99200000000002</v>
      </c>
      <c r="U353" s="1">
        <v>1</v>
      </c>
      <c r="V353" s="1">
        <f t="shared" si="72"/>
        <v>333.99200000000002</v>
      </c>
      <c r="W353" s="1">
        <v>56</v>
      </c>
      <c r="X353" s="2">
        <v>45360</v>
      </c>
      <c r="Y353" s="1" t="s">
        <v>550</v>
      </c>
      <c r="Z353" s="1">
        <f t="shared" si="73"/>
        <v>364.88</v>
      </c>
      <c r="AA353" s="1">
        <f t="shared" si="74"/>
        <v>5</v>
      </c>
      <c r="AB353" s="1" t="str">
        <f t="shared" si="75"/>
        <v>Late</v>
      </c>
      <c r="AC353" s="1">
        <f t="shared" si="76"/>
        <v>308.88</v>
      </c>
      <c r="AD353" s="7">
        <f t="shared" si="77"/>
        <v>0.1</v>
      </c>
      <c r="AE353" s="1">
        <f t="shared" si="78"/>
        <v>30.888000000000002</v>
      </c>
      <c r="AF353" s="1">
        <f t="shared" si="79"/>
        <v>86.888000000000005</v>
      </c>
    </row>
    <row r="354" spans="1:32" ht="14.25" customHeight="1" x14ac:dyDescent="0.3">
      <c r="A354" s="1" t="s">
        <v>177</v>
      </c>
      <c r="B354" s="1" t="s">
        <v>178</v>
      </c>
      <c r="C354" s="1" t="s">
        <v>179</v>
      </c>
      <c r="D354" s="1" t="str">
        <f t="shared" si="67"/>
        <v>Mallory Mitchell</v>
      </c>
      <c r="E354" s="1">
        <v>42</v>
      </c>
      <c r="F354" s="1" t="s">
        <v>34</v>
      </c>
      <c r="G354" s="1" t="s">
        <v>161</v>
      </c>
      <c r="H354" s="1" t="s">
        <v>180</v>
      </c>
      <c r="I354" s="1" t="s">
        <v>181</v>
      </c>
      <c r="J354" s="1" t="s">
        <v>1143</v>
      </c>
      <c r="K354" s="2">
        <v>45555</v>
      </c>
      <c r="L354" s="2" t="str">
        <f t="shared" si="68"/>
        <v>September</v>
      </c>
      <c r="M354" s="1" t="s">
        <v>1144</v>
      </c>
      <c r="N354" s="1" t="s">
        <v>28</v>
      </c>
      <c r="O354" s="1">
        <v>308.88</v>
      </c>
      <c r="P354" s="1">
        <v>1</v>
      </c>
      <c r="Q354" s="1">
        <f t="shared" si="69"/>
        <v>308.88</v>
      </c>
      <c r="R354" s="1" t="s">
        <v>51</v>
      </c>
      <c r="S354" s="1">
        <f t="shared" si="70"/>
        <v>46.332000000000001</v>
      </c>
      <c r="T354" s="1">
        <f t="shared" si="71"/>
        <v>262.548</v>
      </c>
      <c r="U354" s="1">
        <v>3</v>
      </c>
      <c r="V354" s="1">
        <f t="shared" si="72"/>
        <v>316.548</v>
      </c>
      <c r="W354" s="1">
        <v>54</v>
      </c>
      <c r="X354" s="2">
        <v>45556</v>
      </c>
      <c r="Y354" s="1" t="s">
        <v>1145</v>
      </c>
      <c r="Z354" s="1">
        <f t="shared" si="73"/>
        <v>362.88</v>
      </c>
      <c r="AA354" s="1">
        <f t="shared" si="74"/>
        <v>1</v>
      </c>
      <c r="AB354" s="1" t="str">
        <f t="shared" si="75"/>
        <v>BeforeTime</v>
      </c>
      <c r="AC354" s="1">
        <f t="shared" si="76"/>
        <v>308.88</v>
      </c>
      <c r="AD354" s="7">
        <f t="shared" si="77"/>
        <v>0.15</v>
      </c>
      <c r="AE354" s="1">
        <f t="shared" si="78"/>
        <v>46.332000000000001</v>
      </c>
      <c r="AF354" s="1">
        <f t="shared" si="79"/>
        <v>100.33199999999999</v>
      </c>
    </row>
    <row r="355" spans="1:32" ht="14.25" customHeight="1" x14ac:dyDescent="0.3">
      <c r="A355" s="1" t="s">
        <v>80</v>
      </c>
      <c r="B355" s="1" t="s">
        <v>81</v>
      </c>
      <c r="C355" s="1" t="s">
        <v>82</v>
      </c>
      <c r="D355" s="1" t="str">
        <f t="shared" si="67"/>
        <v>David Delacruz</v>
      </c>
      <c r="E355" s="1">
        <v>26</v>
      </c>
      <c r="F355" s="1" t="s">
        <v>34</v>
      </c>
      <c r="G355" s="1" t="s">
        <v>83</v>
      </c>
      <c r="H355" s="1" t="s">
        <v>84</v>
      </c>
      <c r="I355" s="1" t="s">
        <v>85</v>
      </c>
      <c r="J355" s="1" t="s">
        <v>1750</v>
      </c>
      <c r="K355" s="2">
        <v>45359</v>
      </c>
      <c r="L355" s="2" t="str">
        <f t="shared" si="68"/>
        <v>March</v>
      </c>
      <c r="M355" s="1" t="s">
        <v>1751</v>
      </c>
      <c r="N355" s="1" t="s">
        <v>864</v>
      </c>
      <c r="O355" s="1">
        <v>292.14999999999998</v>
      </c>
      <c r="P355" s="1">
        <v>1</v>
      </c>
      <c r="Q355" s="1">
        <f t="shared" si="69"/>
        <v>292.14999999999998</v>
      </c>
      <c r="R355" s="1" t="s">
        <v>78</v>
      </c>
      <c r="S355" s="1">
        <f t="shared" si="70"/>
        <v>58.43</v>
      </c>
      <c r="T355" s="1">
        <f t="shared" si="71"/>
        <v>233.71999999999997</v>
      </c>
      <c r="U355" s="1">
        <v>5</v>
      </c>
      <c r="V355" s="1">
        <f t="shared" si="72"/>
        <v>290.71999999999997</v>
      </c>
      <c r="W355" s="1">
        <v>57</v>
      </c>
      <c r="X355" s="2">
        <v>45365</v>
      </c>
      <c r="Y355" s="1" t="s">
        <v>1752</v>
      </c>
      <c r="Z355" s="1">
        <f t="shared" si="73"/>
        <v>349.15</v>
      </c>
      <c r="AA355" s="1">
        <f t="shared" si="74"/>
        <v>6</v>
      </c>
      <c r="AB355" s="1" t="str">
        <f t="shared" si="75"/>
        <v>Late</v>
      </c>
      <c r="AC355" s="1">
        <f t="shared" si="76"/>
        <v>292.14999999999998</v>
      </c>
      <c r="AD355" s="7">
        <f t="shared" si="77"/>
        <v>0.2</v>
      </c>
      <c r="AE355" s="1">
        <f t="shared" si="78"/>
        <v>58.43</v>
      </c>
      <c r="AF355" s="1">
        <f t="shared" si="79"/>
        <v>115.43</v>
      </c>
    </row>
    <row r="356" spans="1:32" ht="14.25" customHeight="1" x14ac:dyDescent="0.3">
      <c r="A356" s="1" t="s">
        <v>1607</v>
      </c>
      <c r="B356" s="1" t="s">
        <v>266</v>
      </c>
      <c r="C356" s="1" t="s">
        <v>1608</v>
      </c>
      <c r="D356" s="1" t="str">
        <f t="shared" si="67"/>
        <v>Lauren Crane</v>
      </c>
      <c r="E356" s="1">
        <v>62</v>
      </c>
      <c r="F356" s="1" t="s">
        <v>34</v>
      </c>
      <c r="G356" s="1" t="s">
        <v>35</v>
      </c>
      <c r="H356" s="1" t="s">
        <v>1609</v>
      </c>
      <c r="I356" s="1" t="s">
        <v>1610</v>
      </c>
      <c r="J356" s="1" t="s">
        <v>1881</v>
      </c>
      <c r="K356" s="2">
        <v>45429</v>
      </c>
      <c r="L356" s="2" t="str">
        <f t="shared" si="68"/>
        <v>May</v>
      </c>
      <c r="M356" s="1" t="s">
        <v>1882</v>
      </c>
      <c r="N356" s="1" t="s">
        <v>466</v>
      </c>
      <c r="O356" s="1">
        <v>286.07</v>
      </c>
      <c r="P356" s="1">
        <v>1</v>
      </c>
      <c r="Q356" s="1">
        <f t="shared" si="69"/>
        <v>286.07</v>
      </c>
      <c r="R356" s="1" t="s">
        <v>56</v>
      </c>
      <c r="S356" s="1">
        <f t="shared" si="70"/>
        <v>0</v>
      </c>
      <c r="T356" s="1">
        <f t="shared" si="71"/>
        <v>286.07</v>
      </c>
      <c r="U356" s="1">
        <v>4</v>
      </c>
      <c r="V356" s="1">
        <f t="shared" si="72"/>
        <v>329.07</v>
      </c>
      <c r="W356" s="1">
        <v>43</v>
      </c>
      <c r="X356" s="2">
        <v>45434</v>
      </c>
      <c r="Y356" s="1" t="s">
        <v>1883</v>
      </c>
      <c r="Z356" s="1">
        <f t="shared" si="73"/>
        <v>329.07</v>
      </c>
      <c r="AA356" s="1">
        <f t="shared" si="74"/>
        <v>5</v>
      </c>
      <c r="AB356" s="1" t="str">
        <f t="shared" si="75"/>
        <v>Late</v>
      </c>
      <c r="AC356" s="1">
        <f t="shared" si="76"/>
        <v>286.07</v>
      </c>
      <c r="AD356" s="7">
        <f t="shared" si="77"/>
        <v>0</v>
      </c>
      <c r="AE356" s="1">
        <f t="shared" si="78"/>
        <v>0</v>
      </c>
      <c r="AF356" s="1">
        <f t="shared" si="79"/>
        <v>0</v>
      </c>
    </row>
    <row r="357" spans="1:32" ht="14.25" customHeight="1" x14ac:dyDescent="0.3">
      <c r="A357" s="1" t="s">
        <v>918</v>
      </c>
      <c r="B357" s="1" t="s">
        <v>919</v>
      </c>
      <c r="C357" s="1" t="s">
        <v>920</v>
      </c>
      <c r="D357" s="1" t="str">
        <f t="shared" si="67"/>
        <v>Rachael Robinson</v>
      </c>
      <c r="E357" s="1">
        <v>24</v>
      </c>
      <c r="F357" s="1" t="s">
        <v>45</v>
      </c>
      <c r="G357" s="1" t="s">
        <v>213</v>
      </c>
      <c r="H357" s="1" t="s">
        <v>921</v>
      </c>
      <c r="I357" s="1" t="s">
        <v>922</v>
      </c>
      <c r="J357" s="1" t="s">
        <v>936</v>
      </c>
      <c r="K357" s="2">
        <v>45207</v>
      </c>
      <c r="L357" s="2" t="str">
        <f t="shared" si="68"/>
        <v>October</v>
      </c>
      <c r="M357" s="1" t="s">
        <v>937</v>
      </c>
      <c r="N357" s="1" t="s">
        <v>239</v>
      </c>
      <c r="O357" s="1">
        <v>282.63</v>
      </c>
      <c r="P357" s="1">
        <v>1</v>
      </c>
      <c r="Q357" s="1">
        <f t="shared" si="69"/>
        <v>282.63</v>
      </c>
      <c r="R357" s="1" t="s">
        <v>56</v>
      </c>
      <c r="S357" s="1">
        <f t="shared" si="70"/>
        <v>0</v>
      </c>
      <c r="T357" s="1">
        <f t="shared" si="71"/>
        <v>282.63</v>
      </c>
      <c r="U357" s="1">
        <v>5</v>
      </c>
      <c r="V357" s="1">
        <f t="shared" si="72"/>
        <v>327.63</v>
      </c>
      <c r="W357" s="1">
        <v>45</v>
      </c>
      <c r="X357" s="2">
        <v>45214</v>
      </c>
      <c r="Y357" s="1" t="s">
        <v>938</v>
      </c>
      <c r="Z357" s="1">
        <f t="shared" si="73"/>
        <v>327.63</v>
      </c>
      <c r="AA357" s="1">
        <f t="shared" si="74"/>
        <v>7</v>
      </c>
      <c r="AB357" s="1" t="str">
        <f t="shared" si="75"/>
        <v>Late</v>
      </c>
      <c r="AC357" s="1">
        <f t="shared" si="76"/>
        <v>282.63</v>
      </c>
      <c r="AD357" s="7">
        <f t="shared" si="77"/>
        <v>0</v>
      </c>
      <c r="AE357" s="1">
        <f t="shared" si="78"/>
        <v>0</v>
      </c>
      <c r="AF357" s="1">
        <f t="shared" si="79"/>
        <v>0</v>
      </c>
    </row>
    <row r="358" spans="1:32" ht="14.25" customHeight="1" x14ac:dyDescent="0.3">
      <c r="A358" s="1" t="s">
        <v>91</v>
      </c>
      <c r="B358" s="1" t="s">
        <v>92</v>
      </c>
      <c r="C358" s="1" t="s">
        <v>93</v>
      </c>
      <c r="D358" s="1" t="str">
        <f t="shared" si="67"/>
        <v>Marcus Valenzuela</v>
      </c>
      <c r="E358" s="1">
        <v>39</v>
      </c>
      <c r="F358" s="1" t="s">
        <v>22</v>
      </c>
      <c r="G358" s="1" t="s">
        <v>23</v>
      </c>
      <c r="H358" s="1" t="s">
        <v>94</v>
      </c>
      <c r="I358" s="1" t="s">
        <v>95</v>
      </c>
      <c r="J358" s="1" t="s">
        <v>96</v>
      </c>
      <c r="K358" s="2">
        <v>45040</v>
      </c>
      <c r="L358" s="2" t="str">
        <f t="shared" si="68"/>
        <v>April</v>
      </c>
      <c r="M358" s="1" t="s">
        <v>97</v>
      </c>
      <c r="N358" s="1" t="s">
        <v>98</v>
      </c>
      <c r="O358" s="1">
        <v>275.44</v>
      </c>
      <c r="P358" s="1">
        <v>1</v>
      </c>
      <c r="Q358" s="1">
        <f t="shared" si="69"/>
        <v>275.44</v>
      </c>
      <c r="R358" s="1" t="s">
        <v>29</v>
      </c>
      <c r="S358" s="1">
        <f t="shared" si="70"/>
        <v>22.0352</v>
      </c>
      <c r="T358" s="1">
        <f t="shared" si="71"/>
        <v>253.40479999999999</v>
      </c>
      <c r="U358" s="1">
        <v>7</v>
      </c>
      <c r="V358" s="1">
        <f t="shared" si="72"/>
        <v>316.40480000000002</v>
      </c>
      <c r="W358" s="1">
        <v>63</v>
      </c>
      <c r="X358" s="2">
        <v>45042</v>
      </c>
      <c r="Y358" s="1" t="s">
        <v>99</v>
      </c>
      <c r="Z358" s="1">
        <f t="shared" si="73"/>
        <v>338.44</v>
      </c>
      <c r="AA358" s="1">
        <f t="shared" si="74"/>
        <v>2</v>
      </c>
      <c r="AB358" s="1" t="str">
        <f t="shared" si="75"/>
        <v>BeforeTime</v>
      </c>
      <c r="AC358" s="1">
        <f t="shared" si="76"/>
        <v>275.44</v>
      </c>
      <c r="AD358" s="7">
        <f t="shared" si="77"/>
        <v>0.08</v>
      </c>
      <c r="AE358" s="1">
        <f t="shared" si="78"/>
        <v>22.0352</v>
      </c>
      <c r="AF358" s="1">
        <f t="shared" si="79"/>
        <v>85.035200000000003</v>
      </c>
    </row>
    <row r="359" spans="1:32" ht="14.25" customHeight="1" x14ac:dyDescent="0.3">
      <c r="A359" s="1" t="s">
        <v>443</v>
      </c>
      <c r="B359" s="1" t="s">
        <v>444</v>
      </c>
      <c r="C359" s="1" t="s">
        <v>445</v>
      </c>
      <c r="D359" s="1" t="str">
        <f t="shared" si="67"/>
        <v>Brian Kennedy</v>
      </c>
      <c r="E359" s="1">
        <v>69</v>
      </c>
      <c r="F359" s="1" t="s">
        <v>22</v>
      </c>
      <c r="G359" s="1" t="s">
        <v>23</v>
      </c>
      <c r="H359" s="1" t="s">
        <v>446</v>
      </c>
      <c r="I359" s="1" t="s">
        <v>447</v>
      </c>
      <c r="J359" s="1" t="s">
        <v>689</v>
      </c>
      <c r="K359" s="2">
        <v>45484</v>
      </c>
      <c r="L359" s="2" t="str">
        <f t="shared" si="68"/>
        <v>July</v>
      </c>
      <c r="M359" s="1" t="s">
        <v>690</v>
      </c>
      <c r="N359" s="1" t="s">
        <v>507</v>
      </c>
      <c r="O359" s="1">
        <v>136.30000000000001</v>
      </c>
      <c r="P359" s="1">
        <v>2</v>
      </c>
      <c r="Q359" s="1">
        <f t="shared" si="69"/>
        <v>272.60000000000002</v>
      </c>
      <c r="R359" s="1" t="s">
        <v>89</v>
      </c>
      <c r="S359" s="1">
        <f t="shared" si="70"/>
        <v>27.260000000000005</v>
      </c>
      <c r="T359" s="1">
        <f t="shared" si="71"/>
        <v>245.34000000000003</v>
      </c>
      <c r="U359" s="1">
        <v>1</v>
      </c>
      <c r="V359" s="1">
        <f t="shared" si="72"/>
        <v>299.34000000000003</v>
      </c>
      <c r="W359" s="1">
        <v>54</v>
      </c>
      <c r="X359" s="2">
        <v>45485</v>
      </c>
      <c r="Y359" s="1" t="s">
        <v>691</v>
      </c>
      <c r="Z359" s="1">
        <f t="shared" si="73"/>
        <v>326.60000000000002</v>
      </c>
      <c r="AA359" s="1">
        <f t="shared" si="74"/>
        <v>1</v>
      </c>
      <c r="AB359" s="1" t="str">
        <f t="shared" si="75"/>
        <v>Intime</v>
      </c>
      <c r="AC359" s="1">
        <f t="shared" si="76"/>
        <v>272.60000000000002</v>
      </c>
      <c r="AD359" s="7">
        <f t="shared" si="77"/>
        <v>0.1</v>
      </c>
      <c r="AE359" s="1">
        <f t="shared" si="78"/>
        <v>27.260000000000005</v>
      </c>
      <c r="AF359" s="1">
        <f t="shared" si="79"/>
        <v>81.260000000000005</v>
      </c>
    </row>
    <row r="360" spans="1:32" ht="14.25" customHeight="1" x14ac:dyDescent="0.3">
      <c r="A360" s="1" t="s">
        <v>185</v>
      </c>
      <c r="B360" s="1" t="s">
        <v>186</v>
      </c>
      <c r="C360" s="1" t="s">
        <v>187</v>
      </c>
      <c r="D360" s="1" t="str">
        <f t="shared" si="67"/>
        <v>Traci Jones</v>
      </c>
      <c r="E360" s="1">
        <v>34</v>
      </c>
      <c r="F360" s="1" t="s">
        <v>22</v>
      </c>
      <c r="G360" s="1" t="s">
        <v>83</v>
      </c>
      <c r="H360" s="1" t="s">
        <v>188</v>
      </c>
      <c r="I360" s="1" t="s">
        <v>189</v>
      </c>
      <c r="J360" s="1" t="s">
        <v>792</v>
      </c>
      <c r="K360" s="2">
        <v>45667</v>
      </c>
      <c r="L360" s="2" t="str">
        <f t="shared" si="68"/>
        <v>January</v>
      </c>
      <c r="M360" s="1" t="s">
        <v>793</v>
      </c>
      <c r="N360" s="1" t="s">
        <v>507</v>
      </c>
      <c r="O360" s="1">
        <v>136.30000000000001</v>
      </c>
      <c r="P360" s="1">
        <v>2</v>
      </c>
      <c r="Q360" s="1">
        <f t="shared" si="69"/>
        <v>272.60000000000002</v>
      </c>
      <c r="R360" s="1" t="s">
        <v>89</v>
      </c>
      <c r="S360" s="1">
        <f t="shared" si="70"/>
        <v>27.260000000000005</v>
      </c>
      <c r="T360" s="1">
        <f t="shared" si="71"/>
        <v>245.34000000000003</v>
      </c>
      <c r="U360" s="1">
        <v>3</v>
      </c>
      <c r="V360" s="1">
        <f t="shared" si="72"/>
        <v>313.34000000000003</v>
      </c>
      <c r="W360" s="1">
        <v>68</v>
      </c>
      <c r="X360" s="2">
        <v>45674</v>
      </c>
      <c r="Y360" s="1" t="s">
        <v>794</v>
      </c>
      <c r="Z360" s="1">
        <f t="shared" si="73"/>
        <v>340.6</v>
      </c>
      <c r="AA360" s="1">
        <f t="shared" si="74"/>
        <v>7</v>
      </c>
      <c r="AB360" s="1" t="str">
        <f t="shared" si="75"/>
        <v>Late</v>
      </c>
      <c r="AC360" s="1">
        <f t="shared" si="76"/>
        <v>272.60000000000002</v>
      </c>
      <c r="AD360" s="7">
        <f t="shared" si="77"/>
        <v>0.1</v>
      </c>
      <c r="AE360" s="1">
        <f t="shared" si="78"/>
        <v>27.260000000000005</v>
      </c>
      <c r="AF360" s="1">
        <f t="shared" si="79"/>
        <v>95.26</v>
      </c>
    </row>
    <row r="361" spans="1:32" ht="14.25" customHeight="1" x14ac:dyDescent="0.3">
      <c r="A361" s="1" t="s">
        <v>91</v>
      </c>
      <c r="B361" s="1" t="s">
        <v>92</v>
      </c>
      <c r="C361" s="1" t="s">
        <v>93</v>
      </c>
      <c r="D361" s="1" t="str">
        <f t="shared" si="67"/>
        <v>Marcus Valenzuela</v>
      </c>
      <c r="E361" s="1">
        <v>39</v>
      </c>
      <c r="F361" s="1" t="s">
        <v>22</v>
      </c>
      <c r="G361" s="1" t="s">
        <v>23</v>
      </c>
      <c r="H361" s="1" t="s">
        <v>94</v>
      </c>
      <c r="I361" s="1" t="s">
        <v>95</v>
      </c>
      <c r="J361" s="1" t="s">
        <v>807</v>
      </c>
      <c r="K361" s="2">
        <v>45689</v>
      </c>
      <c r="L361" s="2" t="str">
        <f t="shared" si="68"/>
        <v>February</v>
      </c>
      <c r="M361" s="1" t="s">
        <v>808</v>
      </c>
      <c r="N361" s="1" t="s">
        <v>507</v>
      </c>
      <c r="O361" s="1">
        <v>136.30000000000001</v>
      </c>
      <c r="P361" s="1">
        <v>2</v>
      </c>
      <c r="Q361" s="1">
        <f t="shared" si="69"/>
        <v>272.60000000000002</v>
      </c>
      <c r="R361" s="1" t="s">
        <v>89</v>
      </c>
      <c r="S361" s="1">
        <f t="shared" si="70"/>
        <v>27.260000000000005</v>
      </c>
      <c r="T361" s="1">
        <f t="shared" si="71"/>
        <v>245.34000000000003</v>
      </c>
      <c r="U361" s="1">
        <v>2</v>
      </c>
      <c r="V361" s="1">
        <f t="shared" si="72"/>
        <v>296.34000000000003</v>
      </c>
      <c r="W361" s="1">
        <v>51</v>
      </c>
      <c r="X361" s="2">
        <v>45694</v>
      </c>
      <c r="Y361" s="1" t="s">
        <v>809</v>
      </c>
      <c r="Z361" s="1">
        <f t="shared" si="73"/>
        <v>323.60000000000002</v>
      </c>
      <c r="AA361" s="1">
        <f t="shared" si="74"/>
        <v>5</v>
      </c>
      <c r="AB361" s="1" t="str">
        <f t="shared" si="75"/>
        <v>Late</v>
      </c>
      <c r="AC361" s="1">
        <f t="shared" si="76"/>
        <v>272.60000000000002</v>
      </c>
      <c r="AD361" s="7">
        <f t="shared" si="77"/>
        <v>0.1</v>
      </c>
      <c r="AE361" s="1">
        <f t="shared" si="78"/>
        <v>27.260000000000005</v>
      </c>
      <c r="AF361" s="1">
        <f t="shared" si="79"/>
        <v>78.260000000000005</v>
      </c>
    </row>
    <row r="362" spans="1:32" ht="14.25" customHeight="1" x14ac:dyDescent="0.3">
      <c r="A362" s="1" t="s">
        <v>168</v>
      </c>
      <c r="B362" s="1" t="s">
        <v>169</v>
      </c>
      <c r="C362" s="1" t="s">
        <v>170</v>
      </c>
      <c r="D362" s="1" t="str">
        <f t="shared" si="67"/>
        <v>Gina Moreno</v>
      </c>
      <c r="E362" s="1">
        <v>36</v>
      </c>
      <c r="F362" s="1" t="s">
        <v>45</v>
      </c>
      <c r="G362" s="1" t="s">
        <v>133</v>
      </c>
      <c r="H362" s="1" t="s">
        <v>171</v>
      </c>
      <c r="I362" s="1" t="s">
        <v>172</v>
      </c>
      <c r="J362" s="1" t="s">
        <v>1104</v>
      </c>
      <c r="K362" s="2">
        <v>45549</v>
      </c>
      <c r="L362" s="2" t="str">
        <f t="shared" si="68"/>
        <v>September</v>
      </c>
      <c r="M362" s="1" t="s">
        <v>1105</v>
      </c>
      <c r="N362" s="1" t="s">
        <v>507</v>
      </c>
      <c r="O362" s="1">
        <v>136.30000000000001</v>
      </c>
      <c r="P362" s="1">
        <v>2</v>
      </c>
      <c r="Q362" s="1">
        <f t="shared" si="69"/>
        <v>272.60000000000002</v>
      </c>
      <c r="R362" s="1" t="s">
        <v>78</v>
      </c>
      <c r="S362" s="1">
        <f t="shared" si="70"/>
        <v>54.52000000000001</v>
      </c>
      <c r="T362" s="1">
        <f t="shared" si="71"/>
        <v>218.08</v>
      </c>
      <c r="U362" s="1">
        <v>7</v>
      </c>
      <c r="V362" s="1">
        <f t="shared" si="72"/>
        <v>269.08000000000004</v>
      </c>
      <c r="W362" s="1">
        <v>51</v>
      </c>
      <c r="X362" s="2">
        <v>45550</v>
      </c>
      <c r="Y362" s="1" t="s">
        <v>1106</v>
      </c>
      <c r="Z362" s="1">
        <f t="shared" si="73"/>
        <v>323.60000000000002</v>
      </c>
      <c r="AA362" s="1">
        <f t="shared" si="74"/>
        <v>1</v>
      </c>
      <c r="AB362" s="1" t="str">
        <f t="shared" si="75"/>
        <v>BeforeTime</v>
      </c>
      <c r="AC362" s="1">
        <f t="shared" si="76"/>
        <v>272.60000000000002</v>
      </c>
      <c r="AD362" s="7">
        <f t="shared" si="77"/>
        <v>0.2</v>
      </c>
      <c r="AE362" s="1">
        <f t="shared" si="78"/>
        <v>54.52000000000001</v>
      </c>
      <c r="AF362" s="1">
        <f t="shared" si="79"/>
        <v>105.52000000000001</v>
      </c>
    </row>
    <row r="363" spans="1:32" ht="14.25" customHeight="1" x14ac:dyDescent="0.3">
      <c r="A363" s="1" t="s">
        <v>326</v>
      </c>
      <c r="B363" s="1" t="s">
        <v>327</v>
      </c>
      <c r="C363" s="1" t="s">
        <v>328</v>
      </c>
      <c r="D363" s="1" t="str">
        <f t="shared" si="67"/>
        <v>Julie Meyer</v>
      </c>
      <c r="E363" s="1">
        <v>23</v>
      </c>
      <c r="F363" s="1" t="s">
        <v>22</v>
      </c>
      <c r="G363" s="1" t="s">
        <v>23</v>
      </c>
      <c r="H363" s="1" t="s">
        <v>329</v>
      </c>
      <c r="I363" s="1" t="s">
        <v>330</v>
      </c>
      <c r="J363" s="1" t="s">
        <v>1122</v>
      </c>
      <c r="K363" s="2">
        <v>45504</v>
      </c>
      <c r="L363" s="2" t="str">
        <f t="shared" si="68"/>
        <v>July</v>
      </c>
      <c r="M363" s="1" t="s">
        <v>1123</v>
      </c>
      <c r="N363" s="1" t="s">
        <v>507</v>
      </c>
      <c r="O363" s="1">
        <v>136.30000000000001</v>
      </c>
      <c r="P363" s="1">
        <v>2</v>
      </c>
      <c r="Q363" s="1">
        <f t="shared" si="69"/>
        <v>272.60000000000002</v>
      </c>
      <c r="R363" s="1" t="s">
        <v>89</v>
      </c>
      <c r="S363" s="1">
        <f t="shared" si="70"/>
        <v>27.260000000000005</v>
      </c>
      <c r="T363" s="1">
        <f t="shared" si="71"/>
        <v>245.34000000000003</v>
      </c>
      <c r="U363" s="1">
        <v>3</v>
      </c>
      <c r="V363" s="1">
        <f t="shared" si="72"/>
        <v>292.34000000000003</v>
      </c>
      <c r="W363" s="1">
        <v>47</v>
      </c>
      <c r="X363" s="2">
        <v>45511</v>
      </c>
      <c r="Y363" s="1" t="s">
        <v>1124</v>
      </c>
      <c r="Z363" s="1">
        <f t="shared" si="73"/>
        <v>319.60000000000002</v>
      </c>
      <c r="AA363" s="1">
        <f t="shared" si="74"/>
        <v>7</v>
      </c>
      <c r="AB363" s="1" t="str">
        <f t="shared" si="75"/>
        <v>Late</v>
      </c>
      <c r="AC363" s="1">
        <f t="shared" si="76"/>
        <v>272.60000000000002</v>
      </c>
      <c r="AD363" s="7">
        <f t="shared" si="77"/>
        <v>0.1</v>
      </c>
      <c r="AE363" s="1">
        <f t="shared" si="78"/>
        <v>27.260000000000005</v>
      </c>
      <c r="AF363" s="1">
        <f t="shared" si="79"/>
        <v>74.260000000000005</v>
      </c>
    </row>
    <row r="364" spans="1:32" ht="14.25" customHeight="1" x14ac:dyDescent="0.3">
      <c r="A364" s="1" t="s">
        <v>1239</v>
      </c>
      <c r="B364" s="1" t="s">
        <v>59</v>
      </c>
      <c r="C364" s="1" t="s">
        <v>1240</v>
      </c>
      <c r="D364" s="1" t="str">
        <f t="shared" si="67"/>
        <v>Angela Casey</v>
      </c>
      <c r="E364" s="1">
        <v>40</v>
      </c>
      <c r="F364" s="1" t="s">
        <v>22</v>
      </c>
      <c r="G364" s="1" t="s">
        <v>69</v>
      </c>
      <c r="H364" s="1" t="s">
        <v>1241</v>
      </c>
      <c r="I364" s="1" t="s">
        <v>1242</v>
      </c>
      <c r="J364" s="1" t="s">
        <v>1243</v>
      </c>
      <c r="K364" s="2">
        <v>45531</v>
      </c>
      <c r="L364" s="2" t="str">
        <f t="shared" si="68"/>
        <v>August</v>
      </c>
      <c r="M364" s="1" t="s">
        <v>1244</v>
      </c>
      <c r="N364" s="1" t="s">
        <v>507</v>
      </c>
      <c r="O364" s="1">
        <v>136.30000000000001</v>
      </c>
      <c r="P364" s="1">
        <v>2</v>
      </c>
      <c r="Q364" s="1">
        <f t="shared" si="69"/>
        <v>272.60000000000002</v>
      </c>
      <c r="R364" s="1" t="s">
        <v>29</v>
      </c>
      <c r="S364" s="1">
        <f t="shared" si="70"/>
        <v>21.808000000000003</v>
      </c>
      <c r="T364" s="1">
        <f t="shared" si="71"/>
        <v>250.79200000000003</v>
      </c>
      <c r="U364" s="1">
        <v>6</v>
      </c>
      <c r="V364" s="1">
        <f t="shared" si="72"/>
        <v>308.79200000000003</v>
      </c>
      <c r="W364" s="1">
        <v>58</v>
      </c>
      <c r="X364" s="2">
        <v>45533</v>
      </c>
      <c r="Y364" s="1" t="s">
        <v>1245</v>
      </c>
      <c r="Z364" s="1">
        <f t="shared" si="73"/>
        <v>330.6</v>
      </c>
      <c r="AA364" s="1">
        <f t="shared" si="74"/>
        <v>2</v>
      </c>
      <c r="AB364" s="1" t="str">
        <f t="shared" si="75"/>
        <v>BeforeTime</v>
      </c>
      <c r="AC364" s="1">
        <f t="shared" si="76"/>
        <v>272.60000000000002</v>
      </c>
      <c r="AD364" s="7">
        <f t="shared" si="77"/>
        <v>0.08</v>
      </c>
      <c r="AE364" s="1">
        <f t="shared" si="78"/>
        <v>21.808000000000003</v>
      </c>
      <c r="AF364" s="1">
        <f t="shared" si="79"/>
        <v>79.808000000000007</v>
      </c>
    </row>
    <row r="365" spans="1:32" ht="14.25" customHeight="1" x14ac:dyDescent="0.3">
      <c r="A365" s="1" t="s">
        <v>177</v>
      </c>
      <c r="B365" s="1" t="s">
        <v>178</v>
      </c>
      <c r="C365" s="1" t="s">
        <v>179</v>
      </c>
      <c r="D365" s="1" t="str">
        <f t="shared" si="67"/>
        <v>Mallory Mitchell</v>
      </c>
      <c r="E365" s="1">
        <v>42</v>
      </c>
      <c r="F365" s="1" t="s">
        <v>34</v>
      </c>
      <c r="G365" s="1" t="s">
        <v>161</v>
      </c>
      <c r="H365" s="1" t="s">
        <v>180</v>
      </c>
      <c r="I365" s="1" t="s">
        <v>181</v>
      </c>
      <c r="J365" s="1" t="s">
        <v>1291</v>
      </c>
      <c r="K365" s="2">
        <v>45541</v>
      </c>
      <c r="L365" s="2" t="str">
        <f t="shared" si="68"/>
        <v>September</v>
      </c>
      <c r="M365" s="1" t="s">
        <v>1292</v>
      </c>
      <c r="N365" s="1" t="s">
        <v>507</v>
      </c>
      <c r="O365" s="1">
        <v>136.30000000000001</v>
      </c>
      <c r="P365" s="1">
        <v>2</v>
      </c>
      <c r="Q365" s="1">
        <f t="shared" si="69"/>
        <v>272.60000000000002</v>
      </c>
      <c r="R365" s="1" t="s">
        <v>78</v>
      </c>
      <c r="S365" s="1">
        <f t="shared" si="70"/>
        <v>54.52000000000001</v>
      </c>
      <c r="T365" s="1">
        <f t="shared" si="71"/>
        <v>218.08</v>
      </c>
      <c r="U365" s="1">
        <v>2</v>
      </c>
      <c r="V365" s="1">
        <f t="shared" si="72"/>
        <v>263.08000000000004</v>
      </c>
      <c r="W365" s="1">
        <v>45</v>
      </c>
      <c r="X365" s="2">
        <v>45546</v>
      </c>
      <c r="Y365" s="1" t="s">
        <v>1293</v>
      </c>
      <c r="Z365" s="1">
        <f t="shared" si="73"/>
        <v>317.60000000000002</v>
      </c>
      <c r="AA365" s="1">
        <f t="shared" si="74"/>
        <v>5</v>
      </c>
      <c r="AB365" s="1" t="str">
        <f t="shared" si="75"/>
        <v>Late</v>
      </c>
      <c r="AC365" s="1">
        <f t="shared" si="76"/>
        <v>272.60000000000002</v>
      </c>
      <c r="AD365" s="7">
        <f t="shared" si="77"/>
        <v>0.2</v>
      </c>
      <c r="AE365" s="1">
        <f t="shared" si="78"/>
        <v>54.52000000000001</v>
      </c>
      <c r="AF365" s="1">
        <f t="shared" si="79"/>
        <v>99.52000000000001</v>
      </c>
    </row>
    <row r="366" spans="1:32" ht="14.25" customHeight="1" x14ac:dyDescent="0.3">
      <c r="A366" s="1" t="s">
        <v>220</v>
      </c>
      <c r="B366" s="1" t="s">
        <v>221</v>
      </c>
      <c r="C366" s="1" t="s">
        <v>222</v>
      </c>
      <c r="D366" s="1" t="str">
        <f t="shared" si="67"/>
        <v>John Herrera</v>
      </c>
      <c r="E366" s="1">
        <v>64</v>
      </c>
      <c r="F366" s="1" t="s">
        <v>34</v>
      </c>
      <c r="G366" s="1" t="s">
        <v>35</v>
      </c>
      <c r="H366" s="1" t="s">
        <v>223</v>
      </c>
      <c r="I366" s="1" t="s">
        <v>224</v>
      </c>
      <c r="J366" s="1" t="s">
        <v>490</v>
      </c>
      <c r="K366" s="2">
        <v>45629</v>
      </c>
      <c r="L366" s="2" t="str">
        <f t="shared" si="68"/>
        <v>December</v>
      </c>
      <c r="M366" s="1" t="s">
        <v>491</v>
      </c>
      <c r="N366" s="1" t="s">
        <v>166</v>
      </c>
      <c r="O366" s="1">
        <v>272.51</v>
      </c>
      <c r="P366" s="1">
        <v>1</v>
      </c>
      <c r="Q366" s="1">
        <f t="shared" si="69"/>
        <v>272.51</v>
      </c>
      <c r="R366" s="1" t="s">
        <v>78</v>
      </c>
      <c r="S366" s="1">
        <f t="shared" si="70"/>
        <v>54.502000000000002</v>
      </c>
      <c r="T366" s="1">
        <f t="shared" si="71"/>
        <v>218.00799999999998</v>
      </c>
      <c r="U366" s="1">
        <v>4</v>
      </c>
      <c r="V366" s="1">
        <f t="shared" si="72"/>
        <v>261.00799999999998</v>
      </c>
      <c r="W366" s="1">
        <v>43</v>
      </c>
      <c r="X366" s="2">
        <v>45630</v>
      </c>
      <c r="Y366" s="1" t="s">
        <v>492</v>
      </c>
      <c r="Z366" s="1">
        <f t="shared" si="73"/>
        <v>315.51</v>
      </c>
      <c r="AA366" s="1">
        <f t="shared" si="74"/>
        <v>1</v>
      </c>
      <c r="AB366" s="1" t="str">
        <f t="shared" si="75"/>
        <v>BeforeTime</v>
      </c>
      <c r="AC366" s="1">
        <f t="shared" si="76"/>
        <v>272.51</v>
      </c>
      <c r="AD366" s="7">
        <f t="shared" si="77"/>
        <v>0.2</v>
      </c>
      <c r="AE366" s="1">
        <f t="shared" si="78"/>
        <v>54.502000000000002</v>
      </c>
      <c r="AF366" s="1">
        <f t="shared" si="79"/>
        <v>97.50200000000001</v>
      </c>
    </row>
    <row r="367" spans="1:32" ht="14.25" customHeight="1" x14ac:dyDescent="0.3">
      <c r="A367" s="1" t="s">
        <v>443</v>
      </c>
      <c r="B367" s="1" t="s">
        <v>444</v>
      </c>
      <c r="C367" s="1" t="s">
        <v>445</v>
      </c>
      <c r="D367" s="1" t="str">
        <f t="shared" si="67"/>
        <v>Brian Kennedy</v>
      </c>
      <c r="E367" s="1">
        <v>69</v>
      </c>
      <c r="F367" s="1" t="s">
        <v>22</v>
      </c>
      <c r="G367" s="1" t="s">
        <v>23</v>
      </c>
      <c r="H367" s="1" t="s">
        <v>446</v>
      </c>
      <c r="I367" s="1" t="s">
        <v>447</v>
      </c>
      <c r="J367" s="1" t="s">
        <v>554</v>
      </c>
      <c r="K367" s="2">
        <v>45650</v>
      </c>
      <c r="L367" s="2" t="str">
        <f t="shared" si="68"/>
        <v>December</v>
      </c>
      <c r="M367" s="1" t="s">
        <v>555</v>
      </c>
      <c r="N367" s="1" t="s">
        <v>556</v>
      </c>
      <c r="O367" s="1">
        <v>133.62</v>
      </c>
      <c r="P367" s="1">
        <v>2</v>
      </c>
      <c r="Q367" s="1">
        <f t="shared" si="69"/>
        <v>267.24</v>
      </c>
      <c r="R367" s="1" t="s">
        <v>89</v>
      </c>
      <c r="S367" s="1">
        <f t="shared" si="70"/>
        <v>26.724000000000004</v>
      </c>
      <c r="T367" s="1">
        <f t="shared" si="71"/>
        <v>240.51600000000002</v>
      </c>
      <c r="U367" s="1">
        <v>4</v>
      </c>
      <c r="V367" s="1">
        <f t="shared" si="72"/>
        <v>290.51600000000002</v>
      </c>
      <c r="W367" s="1">
        <v>50</v>
      </c>
      <c r="X367" s="2">
        <v>45651</v>
      </c>
      <c r="Y367" s="1" t="s">
        <v>557</v>
      </c>
      <c r="Z367" s="1">
        <f t="shared" si="73"/>
        <v>317.24</v>
      </c>
      <c r="AA367" s="1">
        <f t="shared" si="74"/>
        <v>1</v>
      </c>
      <c r="AB367" s="1" t="str">
        <f t="shared" si="75"/>
        <v>BeforeTime</v>
      </c>
      <c r="AC367" s="1">
        <f t="shared" si="76"/>
        <v>267.24</v>
      </c>
      <c r="AD367" s="7">
        <f t="shared" si="77"/>
        <v>0.1</v>
      </c>
      <c r="AE367" s="1">
        <f t="shared" si="78"/>
        <v>26.724000000000004</v>
      </c>
      <c r="AF367" s="1">
        <f t="shared" si="79"/>
        <v>76.724000000000004</v>
      </c>
    </row>
    <row r="368" spans="1:32" ht="14.25" customHeight="1" x14ac:dyDescent="0.3">
      <c r="A368" s="1" t="s">
        <v>521</v>
      </c>
      <c r="B368" s="1" t="s">
        <v>387</v>
      </c>
      <c r="C368" s="1" t="s">
        <v>522</v>
      </c>
      <c r="D368" s="1" t="str">
        <f t="shared" si="67"/>
        <v>Jason Nguyen</v>
      </c>
      <c r="E368" s="1">
        <v>51</v>
      </c>
      <c r="F368" s="1" t="s">
        <v>45</v>
      </c>
      <c r="G368" s="1" t="s">
        <v>133</v>
      </c>
      <c r="H368" s="1" t="s">
        <v>523</v>
      </c>
      <c r="I368" s="1" t="s">
        <v>524</v>
      </c>
      <c r="J368" s="1" t="s">
        <v>987</v>
      </c>
      <c r="K368" s="2">
        <v>45010</v>
      </c>
      <c r="L368" s="2" t="str">
        <f t="shared" si="68"/>
        <v>March</v>
      </c>
      <c r="M368" s="1" t="s">
        <v>988</v>
      </c>
      <c r="N368" s="1" t="s">
        <v>556</v>
      </c>
      <c r="O368" s="1">
        <v>133.62</v>
      </c>
      <c r="P368" s="1">
        <v>2</v>
      </c>
      <c r="Q368" s="1">
        <f t="shared" si="69"/>
        <v>267.24</v>
      </c>
      <c r="R368" s="1" t="s">
        <v>29</v>
      </c>
      <c r="S368" s="1">
        <f t="shared" si="70"/>
        <v>21.379200000000001</v>
      </c>
      <c r="T368" s="1">
        <f t="shared" si="71"/>
        <v>245.86080000000001</v>
      </c>
      <c r="U368" s="1">
        <v>1</v>
      </c>
      <c r="V368" s="1">
        <f t="shared" si="72"/>
        <v>293.86080000000004</v>
      </c>
      <c r="W368" s="1">
        <v>48</v>
      </c>
      <c r="X368" s="2">
        <v>45015</v>
      </c>
      <c r="Y368" s="1" t="s">
        <v>989</v>
      </c>
      <c r="Z368" s="1">
        <f t="shared" si="73"/>
        <v>315.24</v>
      </c>
      <c r="AA368" s="1">
        <f t="shared" si="74"/>
        <v>5</v>
      </c>
      <c r="AB368" s="1" t="str">
        <f t="shared" si="75"/>
        <v>Late</v>
      </c>
      <c r="AC368" s="1">
        <f t="shared" si="76"/>
        <v>267.24</v>
      </c>
      <c r="AD368" s="7">
        <f t="shared" si="77"/>
        <v>0.08</v>
      </c>
      <c r="AE368" s="1">
        <f t="shared" si="78"/>
        <v>21.379200000000001</v>
      </c>
      <c r="AF368" s="1">
        <f t="shared" si="79"/>
        <v>69.379199999999997</v>
      </c>
    </row>
    <row r="369" spans="1:32" ht="14.25" customHeight="1" x14ac:dyDescent="0.3">
      <c r="A369" s="1" t="s">
        <v>386</v>
      </c>
      <c r="B369" s="1" t="s">
        <v>387</v>
      </c>
      <c r="C369" s="1" t="s">
        <v>388</v>
      </c>
      <c r="D369" s="1" t="str">
        <f t="shared" si="67"/>
        <v>Jason Lopez</v>
      </c>
      <c r="E369" s="1">
        <v>40</v>
      </c>
      <c r="F369" s="1" t="s">
        <v>45</v>
      </c>
      <c r="G369" s="1" t="s">
        <v>161</v>
      </c>
      <c r="H369" s="1" t="s">
        <v>389</v>
      </c>
      <c r="I369" s="1" t="s">
        <v>390</v>
      </c>
      <c r="J369" s="1" t="s">
        <v>1384</v>
      </c>
      <c r="K369" s="2">
        <v>45058</v>
      </c>
      <c r="L369" s="2" t="str">
        <f t="shared" si="68"/>
        <v>May</v>
      </c>
      <c r="M369" s="1" t="s">
        <v>1385</v>
      </c>
      <c r="N369" s="1" t="s">
        <v>556</v>
      </c>
      <c r="O369" s="1">
        <v>133.62</v>
      </c>
      <c r="P369" s="1">
        <v>2</v>
      </c>
      <c r="Q369" s="1">
        <f t="shared" si="69"/>
        <v>267.24</v>
      </c>
      <c r="R369" s="1" t="s">
        <v>89</v>
      </c>
      <c r="S369" s="1">
        <f t="shared" si="70"/>
        <v>26.724000000000004</v>
      </c>
      <c r="T369" s="1">
        <f t="shared" si="71"/>
        <v>240.51600000000002</v>
      </c>
      <c r="U369" s="1">
        <v>4</v>
      </c>
      <c r="V369" s="1">
        <f t="shared" si="72"/>
        <v>276.51600000000002</v>
      </c>
      <c r="W369" s="1">
        <v>36</v>
      </c>
      <c r="X369" s="2">
        <v>45059</v>
      </c>
      <c r="Y369" s="1" t="s">
        <v>1386</v>
      </c>
      <c r="Z369" s="1">
        <f t="shared" si="73"/>
        <v>303.24</v>
      </c>
      <c r="AA369" s="1">
        <f t="shared" si="74"/>
        <v>1</v>
      </c>
      <c r="AB369" s="1" t="str">
        <f t="shared" si="75"/>
        <v>BeforeTime</v>
      </c>
      <c r="AC369" s="1">
        <f t="shared" si="76"/>
        <v>267.24</v>
      </c>
      <c r="AD369" s="7">
        <f t="shared" si="77"/>
        <v>0.1</v>
      </c>
      <c r="AE369" s="1">
        <f t="shared" si="78"/>
        <v>26.724000000000004</v>
      </c>
      <c r="AF369" s="1">
        <f t="shared" si="79"/>
        <v>62.724000000000004</v>
      </c>
    </row>
    <row r="370" spans="1:32" ht="14.25" customHeight="1" x14ac:dyDescent="0.3">
      <c r="A370" s="1" t="s">
        <v>596</v>
      </c>
      <c r="B370" s="1" t="s">
        <v>597</v>
      </c>
      <c r="C370" s="1" t="s">
        <v>396</v>
      </c>
      <c r="D370" s="1" t="str">
        <f t="shared" si="67"/>
        <v>Kelli Smith</v>
      </c>
      <c r="E370" s="1">
        <v>18</v>
      </c>
      <c r="F370" s="1" t="s">
        <v>34</v>
      </c>
      <c r="G370" s="1" t="s">
        <v>35</v>
      </c>
      <c r="H370" s="1" t="s">
        <v>598</v>
      </c>
      <c r="I370" s="1" t="s">
        <v>599</v>
      </c>
      <c r="J370" s="1" t="s">
        <v>1835</v>
      </c>
      <c r="K370" s="2">
        <v>45178</v>
      </c>
      <c r="L370" s="2" t="str">
        <f t="shared" si="68"/>
        <v>September</v>
      </c>
      <c r="M370" s="1" t="s">
        <v>1836</v>
      </c>
      <c r="N370" s="1" t="s">
        <v>556</v>
      </c>
      <c r="O370" s="1">
        <v>133.62</v>
      </c>
      <c r="P370" s="1">
        <v>2</v>
      </c>
      <c r="Q370" s="1">
        <f t="shared" si="69"/>
        <v>267.24</v>
      </c>
      <c r="R370" s="1" t="s">
        <v>29</v>
      </c>
      <c r="S370" s="1">
        <f t="shared" si="70"/>
        <v>21.379200000000001</v>
      </c>
      <c r="T370" s="1">
        <f t="shared" si="71"/>
        <v>245.86080000000001</v>
      </c>
      <c r="U370" s="1">
        <v>2</v>
      </c>
      <c r="V370" s="1">
        <f t="shared" si="72"/>
        <v>293.86080000000004</v>
      </c>
      <c r="W370" s="1">
        <v>48</v>
      </c>
      <c r="X370" s="2">
        <v>45184</v>
      </c>
      <c r="Y370" s="1" t="s">
        <v>1837</v>
      </c>
      <c r="Z370" s="1">
        <f t="shared" si="73"/>
        <v>315.24</v>
      </c>
      <c r="AA370" s="1">
        <f t="shared" si="74"/>
        <v>6</v>
      </c>
      <c r="AB370" s="1" t="str">
        <f t="shared" si="75"/>
        <v>Late</v>
      </c>
      <c r="AC370" s="1">
        <f t="shared" si="76"/>
        <v>267.24</v>
      </c>
      <c r="AD370" s="7">
        <f t="shared" si="77"/>
        <v>0.08</v>
      </c>
      <c r="AE370" s="1">
        <f t="shared" si="78"/>
        <v>21.379200000000001</v>
      </c>
      <c r="AF370" s="1">
        <f t="shared" si="79"/>
        <v>69.379199999999997</v>
      </c>
    </row>
    <row r="371" spans="1:32" ht="14.25" customHeight="1" x14ac:dyDescent="0.3">
      <c r="A371" s="1" t="s">
        <v>1335</v>
      </c>
      <c r="B371" s="1" t="s">
        <v>501</v>
      </c>
      <c r="C371" s="1" t="s">
        <v>1336</v>
      </c>
      <c r="D371" s="1" t="str">
        <f t="shared" si="67"/>
        <v>Sarah Benson</v>
      </c>
      <c r="E371" s="1">
        <v>40</v>
      </c>
      <c r="F371" s="1" t="s">
        <v>45</v>
      </c>
      <c r="G371" s="1" t="s">
        <v>213</v>
      </c>
      <c r="H371" s="1" t="s">
        <v>1337</v>
      </c>
      <c r="I371" s="1" t="s">
        <v>1338</v>
      </c>
      <c r="J371" s="1" t="s">
        <v>1500</v>
      </c>
      <c r="K371" s="2">
        <v>45573</v>
      </c>
      <c r="L371" s="2" t="str">
        <f t="shared" si="68"/>
        <v>October</v>
      </c>
      <c r="M371" s="1" t="s">
        <v>1501</v>
      </c>
      <c r="N371" s="1" t="s">
        <v>227</v>
      </c>
      <c r="O371" s="1">
        <v>132.97</v>
      </c>
      <c r="P371" s="1">
        <v>2</v>
      </c>
      <c r="Q371" s="1">
        <f t="shared" si="69"/>
        <v>265.94</v>
      </c>
      <c r="R371" s="1" t="s">
        <v>89</v>
      </c>
      <c r="S371" s="1">
        <f t="shared" si="70"/>
        <v>26.594000000000001</v>
      </c>
      <c r="T371" s="1">
        <f t="shared" si="71"/>
        <v>239.346</v>
      </c>
      <c r="U371" s="1">
        <v>6</v>
      </c>
      <c r="V371" s="1">
        <f t="shared" si="72"/>
        <v>308.346</v>
      </c>
      <c r="W371" s="1">
        <v>69</v>
      </c>
      <c r="X371" s="2">
        <v>45578</v>
      </c>
      <c r="Y371" s="1" t="s">
        <v>1502</v>
      </c>
      <c r="Z371" s="1">
        <f t="shared" si="73"/>
        <v>334.94</v>
      </c>
      <c r="AA371" s="1">
        <f t="shared" si="74"/>
        <v>5</v>
      </c>
      <c r="AB371" s="1" t="str">
        <f t="shared" si="75"/>
        <v>BeforeTime</v>
      </c>
      <c r="AC371" s="1">
        <f t="shared" si="76"/>
        <v>265.94</v>
      </c>
      <c r="AD371" s="7">
        <f t="shared" si="77"/>
        <v>0.1</v>
      </c>
      <c r="AE371" s="1">
        <f t="shared" si="78"/>
        <v>26.594000000000001</v>
      </c>
      <c r="AF371" s="1">
        <f t="shared" si="79"/>
        <v>95.593999999999994</v>
      </c>
    </row>
    <row r="372" spans="1:32" ht="14.25" customHeight="1" x14ac:dyDescent="0.3">
      <c r="A372" s="1" t="s">
        <v>149</v>
      </c>
      <c r="B372" s="1" t="s">
        <v>150</v>
      </c>
      <c r="C372" s="1" t="s">
        <v>151</v>
      </c>
      <c r="D372" s="1" t="str">
        <f t="shared" si="67"/>
        <v>Joshua Campbell</v>
      </c>
      <c r="E372" s="1">
        <v>24</v>
      </c>
      <c r="F372" s="1" t="s">
        <v>22</v>
      </c>
      <c r="G372" s="1" t="s">
        <v>152</v>
      </c>
      <c r="H372" s="1" t="s">
        <v>153</v>
      </c>
      <c r="I372" s="1" t="s">
        <v>154</v>
      </c>
      <c r="J372" s="1" t="s">
        <v>1632</v>
      </c>
      <c r="K372" s="2">
        <v>45485</v>
      </c>
      <c r="L372" s="2" t="str">
        <f t="shared" si="68"/>
        <v>July</v>
      </c>
      <c r="M372" s="1" t="s">
        <v>1633</v>
      </c>
      <c r="N372" s="1" t="s">
        <v>227</v>
      </c>
      <c r="O372" s="1">
        <v>132.97</v>
      </c>
      <c r="P372" s="1">
        <v>2</v>
      </c>
      <c r="Q372" s="1">
        <f t="shared" si="69"/>
        <v>265.94</v>
      </c>
      <c r="R372" s="1" t="s">
        <v>51</v>
      </c>
      <c r="S372" s="1">
        <f t="shared" si="70"/>
        <v>39.890999999999998</v>
      </c>
      <c r="T372" s="1">
        <f t="shared" si="71"/>
        <v>226.04900000000001</v>
      </c>
      <c r="U372" s="1">
        <v>4</v>
      </c>
      <c r="V372" s="1">
        <f t="shared" si="72"/>
        <v>266.04899999999998</v>
      </c>
      <c r="W372" s="1">
        <v>40</v>
      </c>
      <c r="X372" s="2">
        <v>45487</v>
      </c>
      <c r="Y372" s="1" t="s">
        <v>1634</v>
      </c>
      <c r="Z372" s="1">
        <f t="shared" si="73"/>
        <v>305.94</v>
      </c>
      <c r="AA372" s="1">
        <f t="shared" si="74"/>
        <v>2</v>
      </c>
      <c r="AB372" s="1" t="str">
        <f t="shared" si="75"/>
        <v>BeforeTime</v>
      </c>
      <c r="AC372" s="1">
        <f t="shared" si="76"/>
        <v>265.94</v>
      </c>
      <c r="AD372" s="7">
        <f t="shared" si="77"/>
        <v>0.15</v>
      </c>
      <c r="AE372" s="1">
        <f t="shared" si="78"/>
        <v>39.890999999999998</v>
      </c>
      <c r="AF372" s="1">
        <f t="shared" si="79"/>
        <v>79.890999999999991</v>
      </c>
    </row>
    <row r="373" spans="1:32" ht="14.25" customHeight="1" x14ac:dyDescent="0.3">
      <c r="A373" s="1" t="s">
        <v>342</v>
      </c>
      <c r="B373" s="1" t="s">
        <v>343</v>
      </c>
      <c r="C373" s="1" t="s">
        <v>344</v>
      </c>
      <c r="D373" s="1" t="str">
        <f t="shared" si="67"/>
        <v>Donna Oneill</v>
      </c>
      <c r="E373" s="1">
        <v>70</v>
      </c>
      <c r="F373" s="1" t="s">
        <v>22</v>
      </c>
      <c r="G373" s="1" t="s">
        <v>161</v>
      </c>
      <c r="H373" s="1" t="s">
        <v>345</v>
      </c>
      <c r="I373" s="1" t="s">
        <v>346</v>
      </c>
      <c r="J373" s="1" t="s">
        <v>402</v>
      </c>
      <c r="K373" s="2">
        <v>45224</v>
      </c>
      <c r="L373" s="2" t="str">
        <f t="shared" si="68"/>
        <v>October</v>
      </c>
      <c r="M373" s="1" t="s">
        <v>403</v>
      </c>
      <c r="N373" s="1" t="s">
        <v>301</v>
      </c>
      <c r="O373" s="1">
        <v>129.75</v>
      </c>
      <c r="P373" s="1">
        <v>2</v>
      </c>
      <c r="Q373" s="1">
        <f t="shared" si="69"/>
        <v>259.5</v>
      </c>
      <c r="R373" s="1" t="s">
        <v>78</v>
      </c>
      <c r="S373" s="1">
        <f t="shared" si="70"/>
        <v>51.900000000000006</v>
      </c>
      <c r="T373" s="1">
        <f t="shared" si="71"/>
        <v>207.6</v>
      </c>
      <c r="U373" s="1">
        <v>5</v>
      </c>
      <c r="V373" s="1">
        <f t="shared" si="72"/>
        <v>249.6</v>
      </c>
      <c r="W373" s="1">
        <v>42</v>
      </c>
      <c r="X373" s="2">
        <v>45227</v>
      </c>
      <c r="Y373" s="1" t="s">
        <v>404</v>
      </c>
      <c r="Z373" s="1">
        <f t="shared" si="73"/>
        <v>301.5</v>
      </c>
      <c r="AA373" s="1">
        <f t="shared" si="74"/>
        <v>3</v>
      </c>
      <c r="AB373" s="1" t="str">
        <f t="shared" si="75"/>
        <v>BeforeTime</v>
      </c>
      <c r="AC373" s="1">
        <f t="shared" si="76"/>
        <v>259.5</v>
      </c>
      <c r="AD373" s="7">
        <f t="shared" si="77"/>
        <v>0.2</v>
      </c>
      <c r="AE373" s="1">
        <f t="shared" si="78"/>
        <v>51.900000000000006</v>
      </c>
      <c r="AF373" s="1">
        <f t="shared" si="79"/>
        <v>93.9</v>
      </c>
    </row>
    <row r="374" spans="1:32" ht="14.25" customHeight="1" x14ac:dyDescent="0.3">
      <c r="A374" s="1" t="s">
        <v>318</v>
      </c>
      <c r="B374" s="1" t="s">
        <v>319</v>
      </c>
      <c r="C374" s="1" t="s">
        <v>320</v>
      </c>
      <c r="D374" s="1" t="str">
        <f t="shared" si="67"/>
        <v>Courtney Parker</v>
      </c>
      <c r="E374" s="1">
        <v>29</v>
      </c>
      <c r="F374" s="1" t="s">
        <v>45</v>
      </c>
      <c r="G374" s="1" t="s">
        <v>83</v>
      </c>
      <c r="H374" s="1" t="s">
        <v>321</v>
      </c>
      <c r="I374" s="1" t="s">
        <v>322</v>
      </c>
      <c r="J374" s="1" t="s">
        <v>1426</v>
      </c>
      <c r="K374" s="2">
        <v>45616</v>
      </c>
      <c r="L374" s="2" t="str">
        <f t="shared" si="68"/>
        <v>November</v>
      </c>
      <c r="M374" s="1" t="s">
        <v>1427</v>
      </c>
      <c r="N374" s="1" t="s">
        <v>301</v>
      </c>
      <c r="O374" s="1">
        <v>129.75</v>
      </c>
      <c r="P374" s="1">
        <v>2</v>
      </c>
      <c r="Q374" s="1">
        <f t="shared" si="69"/>
        <v>259.5</v>
      </c>
      <c r="R374" s="1" t="s">
        <v>56</v>
      </c>
      <c r="S374" s="1">
        <f t="shared" si="70"/>
        <v>0</v>
      </c>
      <c r="T374" s="1">
        <f t="shared" si="71"/>
        <v>259.5</v>
      </c>
      <c r="U374" s="1">
        <v>4</v>
      </c>
      <c r="V374" s="1">
        <f t="shared" si="72"/>
        <v>312.5</v>
      </c>
      <c r="W374" s="1">
        <v>53</v>
      </c>
      <c r="X374" s="2">
        <v>45620</v>
      </c>
      <c r="Y374" s="1" t="s">
        <v>1428</v>
      </c>
      <c r="Z374" s="1">
        <f t="shared" si="73"/>
        <v>312.5</v>
      </c>
      <c r="AA374" s="1">
        <f t="shared" si="74"/>
        <v>4</v>
      </c>
      <c r="AB374" s="1" t="str">
        <f t="shared" si="75"/>
        <v>Intime</v>
      </c>
      <c r="AC374" s="1">
        <f t="shared" si="76"/>
        <v>259.5</v>
      </c>
      <c r="AD374" s="7">
        <f t="shared" si="77"/>
        <v>0</v>
      </c>
      <c r="AE374" s="1">
        <f t="shared" si="78"/>
        <v>0</v>
      </c>
      <c r="AF374" s="1">
        <f t="shared" si="79"/>
        <v>0</v>
      </c>
    </row>
    <row r="375" spans="1:32" ht="14.25" customHeight="1" x14ac:dyDescent="0.3">
      <c r="A375" s="1" t="s">
        <v>386</v>
      </c>
      <c r="B375" s="1" t="s">
        <v>387</v>
      </c>
      <c r="C375" s="1" t="s">
        <v>388</v>
      </c>
      <c r="D375" s="1" t="str">
        <f t="shared" si="67"/>
        <v>Jason Lopez</v>
      </c>
      <c r="E375" s="1">
        <v>40</v>
      </c>
      <c r="F375" s="1" t="s">
        <v>45</v>
      </c>
      <c r="G375" s="1" t="s">
        <v>161</v>
      </c>
      <c r="H375" s="1" t="s">
        <v>389</v>
      </c>
      <c r="I375" s="1" t="s">
        <v>390</v>
      </c>
      <c r="J375" s="1" t="s">
        <v>1533</v>
      </c>
      <c r="K375" s="2">
        <v>45285</v>
      </c>
      <c r="L375" s="2" t="str">
        <f t="shared" si="68"/>
        <v>December</v>
      </c>
      <c r="M375" s="1" t="s">
        <v>1534</v>
      </c>
      <c r="N375" s="1" t="s">
        <v>301</v>
      </c>
      <c r="O375" s="1">
        <v>129.75</v>
      </c>
      <c r="P375" s="1">
        <v>2</v>
      </c>
      <c r="Q375" s="1">
        <f t="shared" si="69"/>
        <v>259.5</v>
      </c>
      <c r="R375" s="1" t="s">
        <v>51</v>
      </c>
      <c r="S375" s="1">
        <f t="shared" si="70"/>
        <v>38.924999999999997</v>
      </c>
      <c r="T375" s="1">
        <f t="shared" si="71"/>
        <v>220.57499999999999</v>
      </c>
      <c r="U375" s="1">
        <v>1</v>
      </c>
      <c r="V375" s="1">
        <f t="shared" si="72"/>
        <v>282.57499999999999</v>
      </c>
      <c r="W375" s="1">
        <v>62</v>
      </c>
      <c r="X375" s="2">
        <v>45290</v>
      </c>
      <c r="Y375" s="1" t="s">
        <v>1535</v>
      </c>
      <c r="Z375" s="1">
        <f t="shared" si="73"/>
        <v>321.5</v>
      </c>
      <c r="AA375" s="1">
        <f t="shared" si="74"/>
        <v>5</v>
      </c>
      <c r="AB375" s="1" t="str">
        <f t="shared" si="75"/>
        <v>Late</v>
      </c>
      <c r="AC375" s="1">
        <f t="shared" si="76"/>
        <v>259.5</v>
      </c>
      <c r="AD375" s="7">
        <f t="shared" si="77"/>
        <v>0.15</v>
      </c>
      <c r="AE375" s="1">
        <f t="shared" si="78"/>
        <v>38.924999999999997</v>
      </c>
      <c r="AF375" s="1">
        <f t="shared" si="79"/>
        <v>100.925</v>
      </c>
    </row>
    <row r="376" spans="1:32" ht="14.25" customHeight="1" x14ac:dyDescent="0.3">
      <c r="A376" s="1" t="s">
        <v>378</v>
      </c>
      <c r="B376" s="1" t="s">
        <v>379</v>
      </c>
      <c r="C376" s="1" t="s">
        <v>380</v>
      </c>
      <c r="D376" s="1" t="str">
        <f t="shared" si="67"/>
        <v>Aaron Thompson</v>
      </c>
      <c r="E376" s="1">
        <v>47</v>
      </c>
      <c r="F376" s="1" t="s">
        <v>34</v>
      </c>
      <c r="G376" s="1" t="s">
        <v>83</v>
      </c>
      <c r="H376" s="1" t="s">
        <v>381</v>
      </c>
      <c r="I376" s="1" t="s">
        <v>382</v>
      </c>
      <c r="J376" s="1" t="s">
        <v>1859</v>
      </c>
      <c r="K376" s="2">
        <v>45529</v>
      </c>
      <c r="L376" s="2" t="str">
        <f t="shared" si="68"/>
        <v>August</v>
      </c>
      <c r="M376" s="1" t="s">
        <v>1860</v>
      </c>
      <c r="N376" s="1" t="s">
        <v>301</v>
      </c>
      <c r="O376" s="1">
        <v>129.75</v>
      </c>
      <c r="P376" s="1">
        <v>2</v>
      </c>
      <c r="Q376" s="1">
        <f t="shared" si="69"/>
        <v>259.5</v>
      </c>
      <c r="R376" s="1" t="s">
        <v>78</v>
      </c>
      <c r="S376" s="1">
        <f t="shared" si="70"/>
        <v>51.900000000000006</v>
      </c>
      <c r="T376" s="1">
        <f t="shared" si="71"/>
        <v>207.6</v>
      </c>
      <c r="U376" s="1">
        <v>5</v>
      </c>
      <c r="V376" s="1">
        <f t="shared" si="72"/>
        <v>254.6</v>
      </c>
      <c r="W376" s="1">
        <v>47</v>
      </c>
      <c r="X376" s="2">
        <v>45532</v>
      </c>
      <c r="Y376" s="1" t="s">
        <v>1861</v>
      </c>
      <c r="Z376" s="1">
        <f t="shared" si="73"/>
        <v>306.5</v>
      </c>
      <c r="AA376" s="1">
        <f t="shared" si="74"/>
        <v>3</v>
      </c>
      <c r="AB376" s="1" t="str">
        <f t="shared" si="75"/>
        <v>BeforeTime</v>
      </c>
      <c r="AC376" s="1">
        <f t="shared" si="76"/>
        <v>259.5</v>
      </c>
      <c r="AD376" s="7">
        <f t="shared" si="77"/>
        <v>0.2</v>
      </c>
      <c r="AE376" s="1">
        <f t="shared" si="78"/>
        <v>51.900000000000006</v>
      </c>
      <c r="AF376" s="1">
        <f t="shared" si="79"/>
        <v>98.9</v>
      </c>
    </row>
    <row r="377" spans="1:32" ht="14.25" customHeight="1" x14ac:dyDescent="0.3">
      <c r="A377" s="1" t="s">
        <v>31</v>
      </c>
      <c r="B377" s="1" t="s">
        <v>32</v>
      </c>
      <c r="C377" s="1" t="s">
        <v>33</v>
      </c>
      <c r="D377" s="1" t="str">
        <f t="shared" si="67"/>
        <v>Anthony Thomas</v>
      </c>
      <c r="E377" s="1">
        <v>53</v>
      </c>
      <c r="F377" s="1" t="s">
        <v>34</v>
      </c>
      <c r="G377" s="1" t="s">
        <v>35</v>
      </c>
      <c r="H377" s="1" t="s">
        <v>36</v>
      </c>
      <c r="I377" s="1" t="s">
        <v>37</v>
      </c>
      <c r="J377" s="1" t="s">
        <v>1348</v>
      </c>
      <c r="K377" s="2">
        <v>45186</v>
      </c>
      <c r="L377" s="2" t="str">
        <f t="shared" si="68"/>
        <v>September</v>
      </c>
      <c r="M377" s="1" t="s">
        <v>1349</v>
      </c>
      <c r="N377" s="1" t="s">
        <v>119</v>
      </c>
      <c r="O377" s="1">
        <v>257.06</v>
      </c>
      <c r="P377" s="1">
        <v>1</v>
      </c>
      <c r="Q377" s="1">
        <f t="shared" si="69"/>
        <v>257.06</v>
      </c>
      <c r="R377" s="1" t="s">
        <v>78</v>
      </c>
      <c r="S377" s="1">
        <f t="shared" si="70"/>
        <v>51.412000000000006</v>
      </c>
      <c r="T377" s="1">
        <f t="shared" si="71"/>
        <v>205.648</v>
      </c>
      <c r="U377" s="1">
        <v>5</v>
      </c>
      <c r="V377" s="1">
        <f t="shared" si="72"/>
        <v>269.64800000000002</v>
      </c>
      <c r="W377" s="1">
        <v>64</v>
      </c>
      <c r="X377" s="2">
        <v>45188</v>
      </c>
      <c r="Y377" s="1" t="s">
        <v>1350</v>
      </c>
      <c r="Z377" s="1">
        <f t="shared" si="73"/>
        <v>321.06</v>
      </c>
      <c r="AA377" s="1">
        <f t="shared" si="74"/>
        <v>2</v>
      </c>
      <c r="AB377" s="1" t="str">
        <f t="shared" si="75"/>
        <v>BeforeTime</v>
      </c>
      <c r="AC377" s="1">
        <f t="shared" si="76"/>
        <v>257.06</v>
      </c>
      <c r="AD377" s="7">
        <f t="shared" si="77"/>
        <v>0.2</v>
      </c>
      <c r="AE377" s="1">
        <f t="shared" si="78"/>
        <v>51.412000000000006</v>
      </c>
      <c r="AF377" s="1">
        <f t="shared" si="79"/>
        <v>115.41200000000001</v>
      </c>
    </row>
    <row r="378" spans="1:32" ht="14.25" customHeight="1" x14ac:dyDescent="0.3">
      <c r="A378" s="1" t="s">
        <v>1231</v>
      </c>
      <c r="B378" s="1" t="s">
        <v>1232</v>
      </c>
      <c r="C378" s="1" t="s">
        <v>1233</v>
      </c>
      <c r="D378" s="1" t="str">
        <f t="shared" si="67"/>
        <v>Hannah Gutierrez</v>
      </c>
      <c r="E378" s="1">
        <v>55</v>
      </c>
      <c r="F378" s="1" t="s">
        <v>34</v>
      </c>
      <c r="G378" s="1" t="s">
        <v>152</v>
      </c>
      <c r="H378" s="1" t="s">
        <v>1234</v>
      </c>
      <c r="I378" s="1" t="s">
        <v>1235</v>
      </c>
      <c r="J378" s="1" t="s">
        <v>1617</v>
      </c>
      <c r="K378" s="2">
        <v>45421</v>
      </c>
      <c r="L378" s="2" t="str">
        <f t="shared" si="68"/>
        <v>May</v>
      </c>
      <c r="M378" s="1" t="s">
        <v>1618</v>
      </c>
      <c r="N378" s="1" t="s">
        <v>119</v>
      </c>
      <c r="O378" s="1">
        <v>257.06</v>
      </c>
      <c r="P378" s="1">
        <v>1</v>
      </c>
      <c r="Q378" s="1">
        <f t="shared" si="69"/>
        <v>257.06</v>
      </c>
      <c r="R378" s="1" t="s">
        <v>78</v>
      </c>
      <c r="S378" s="1">
        <f t="shared" si="70"/>
        <v>51.412000000000006</v>
      </c>
      <c r="T378" s="1">
        <f t="shared" si="71"/>
        <v>205.648</v>
      </c>
      <c r="U378" s="1">
        <v>4</v>
      </c>
      <c r="V378" s="1">
        <f t="shared" si="72"/>
        <v>247.648</v>
      </c>
      <c r="W378" s="1">
        <v>42</v>
      </c>
      <c r="X378" s="2">
        <v>45423</v>
      </c>
      <c r="Y378" s="1" t="s">
        <v>1619</v>
      </c>
      <c r="Z378" s="1">
        <f t="shared" si="73"/>
        <v>299.06</v>
      </c>
      <c r="AA378" s="1">
        <f t="shared" si="74"/>
        <v>2</v>
      </c>
      <c r="AB378" s="1" t="str">
        <f t="shared" si="75"/>
        <v>BeforeTime</v>
      </c>
      <c r="AC378" s="1">
        <f t="shared" si="76"/>
        <v>257.06</v>
      </c>
      <c r="AD378" s="7">
        <f t="shared" si="77"/>
        <v>0.2</v>
      </c>
      <c r="AE378" s="1">
        <f t="shared" si="78"/>
        <v>51.412000000000006</v>
      </c>
      <c r="AF378" s="1">
        <f t="shared" si="79"/>
        <v>93.412000000000006</v>
      </c>
    </row>
    <row r="379" spans="1:32" ht="14.25" customHeight="1" x14ac:dyDescent="0.3">
      <c r="A379" s="1" t="s">
        <v>351</v>
      </c>
      <c r="B379" s="1" t="s">
        <v>352</v>
      </c>
      <c r="C379" s="1" t="s">
        <v>353</v>
      </c>
      <c r="D379" s="1" t="str">
        <f t="shared" si="67"/>
        <v>Robert Castillo</v>
      </c>
      <c r="E379" s="1">
        <v>32</v>
      </c>
      <c r="F379" s="1" t="s">
        <v>34</v>
      </c>
      <c r="G379" s="1" t="s">
        <v>161</v>
      </c>
      <c r="H379" s="1" t="s">
        <v>354</v>
      </c>
      <c r="I379" s="1" t="s">
        <v>355</v>
      </c>
      <c r="J379" s="1" t="s">
        <v>1913</v>
      </c>
      <c r="K379" s="2">
        <v>45257</v>
      </c>
      <c r="L379" s="2" t="str">
        <f t="shared" si="68"/>
        <v>November</v>
      </c>
      <c r="M379" s="1" t="s">
        <v>1914</v>
      </c>
      <c r="N379" s="1" t="s">
        <v>119</v>
      </c>
      <c r="O379" s="1">
        <v>257.06</v>
      </c>
      <c r="P379" s="1">
        <v>1</v>
      </c>
      <c r="Q379" s="1">
        <f t="shared" si="69"/>
        <v>257.06</v>
      </c>
      <c r="R379" s="1" t="s">
        <v>29</v>
      </c>
      <c r="S379" s="1">
        <f t="shared" si="70"/>
        <v>20.564800000000002</v>
      </c>
      <c r="T379" s="1">
        <f t="shared" si="71"/>
        <v>236.49520000000001</v>
      </c>
      <c r="U379" s="1">
        <v>3</v>
      </c>
      <c r="V379" s="1">
        <f t="shared" si="72"/>
        <v>283.49520000000001</v>
      </c>
      <c r="W379" s="1">
        <v>47</v>
      </c>
      <c r="X379" s="2">
        <v>45259</v>
      </c>
      <c r="Y379" s="1" t="s">
        <v>1915</v>
      </c>
      <c r="Z379" s="1">
        <f t="shared" si="73"/>
        <v>304.06</v>
      </c>
      <c r="AA379" s="1">
        <f t="shared" si="74"/>
        <v>2</v>
      </c>
      <c r="AB379" s="1" t="str">
        <f t="shared" si="75"/>
        <v>BeforeTime</v>
      </c>
      <c r="AC379" s="1">
        <f t="shared" si="76"/>
        <v>257.06</v>
      </c>
      <c r="AD379" s="7">
        <f t="shared" si="77"/>
        <v>0.08</v>
      </c>
      <c r="AE379" s="1">
        <f t="shared" si="78"/>
        <v>20.564800000000002</v>
      </c>
      <c r="AF379" s="1">
        <f t="shared" si="79"/>
        <v>67.564800000000005</v>
      </c>
    </row>
    <row r="380" spans="1:32" ht="14.25" customHeight="1" x14ac:dyDescent="0.3">
      <c r="A380" s="1" t="s">
        <v>229</v>
      </c>
      <c r="B380" s="1" t="s">
        <v>59</v>
      </c>
      <c r="C380" s="1" t="s">
        <v>230</v>
      </c>
      <c r="D380" s="1" t="str">
        <f t="shared" si="67"/>
        <v>Angela Evans</v>
      </c>
      <c r="E380" s="1">
        <v>52</v>
      </c>
      <c r="F380" s="1" t="s">
        <v>45</v>
      </c>
      <c r="G380" s="1" t="s">
        <v>35</v>
      </c>
      <c r="H380" s="1" t="s">
        <v>231</v>
      </c>
      <c r="I380" s="1" t="s">
        <v>232</v>
      </c>
      <c r="J380" s="1" t="s">
        <v>233</v>
      </c>
      <c r="K380" s="2">
        <v>45146</v>
      </c>
      <c r="L380" s="2" t="str">
        <f t="shared" si="68"/>
        <v>August</v>
      </c>
      <c r="M380" s="1" t="s">
        <v>234</v>
      </c>
      <c r="N380" s="1" t="s">
        <v>235</v>
      </c>
      <c r="O380" s="1">
        <v>126.19</v>
      </c>
      <c r="P380" s="1">
        <v>2</v>
      </c>
      <c r="Q380" s="1">
        <f t="shared" si="69"/>
        <v>252.38</v>
      </c>
      <c r="R380" s="1" t="s">
        <v>56</v>
      </c>
      <c r="S380" s="1">
        <f t="shared" si="70"/>
        <v>0</v>
      </c>
      <c r="T380" s="1">
        <f t="shared" si="71"/>
        <v>252.38</v>
      </c>
      <c r="U380" s="1">
        <v>3</v>
      </c>
      <c r="V380" s="1">
        <f t="shared" si="72"/>
        <v>315.38</v>
      </c>
      <c r="W380" s="1">
        <v>63</v>
      </c>
      <c r="X380" s="2">
        <v>45150</v>
      </c>
      <c r="Y380" s="1" t="s">
        <v>236</v>
      </c>
      <c r="Z380" s="1">
        <f t="shared" si="73"/>
        <v>315.38</v>
      </c>
      <c r="AA380" s="1">
        <f t="shared" si="74"/>
        <v>4</v>
      </c>
      <c r="AB380" s="1" t="str">
        <f t="shared" si="75"/>
        <v>Late</v>
      </c>
      <c r="AC380" s="1">
        <f t="shared" si="76"/>
        <v>252.38</v>
      </c>
      <c r="AD380" s="7">
        <f t="shared" si="77"/>
        <v>0</v>
      </c>
      <c r="AE380" s="1">
        <f t="shared" si="78"/>
        <v>0</v>
      </c>
      <c r="AF380" s="1">
        <f t="shared" si="79"/>
        <v>0</v>
      </c>
    </row>
    <row r="381" spans="1:32" ht="14.25" customHeight="1" x14ac:dyDescent="0.3">
      <c r="A381" s="1" t="s">
        <v>405</v>
      </c>
      <c r="B381" s="1" t="s">
        <v>221</v>
      </c>
      <c r="C381" s="1" t="s">
        <v>406</v>
      </c>
      <c r="D381" s="1" t="str">
        <f t="shared" si="67"/>
        <v>John Ramirez</v>
      </c>
      <c r="E381" s="1">
        <v>28</v>
      </c>
      <c r="F381" s="1" t="s">
        <v>45</v>
      </c>
      <c r="G381" s="1" t="s">
        <v>133</v>
      </c>
      <c r="H381" s="1" t="s">
        <v>407</v>
      </c>
      <c r="I381" s="1" t="s">
        <v>408</v>
      </c>
      <c r="J381" s="1" t="s">
        <v>625</v>
      </c>
      <c r="K381" s="2">
        <v>45495</v>
      </c>
      <c r="L381" s="2" t="str">
        <f t="shared" si="68"/>
        <v>July</v>
      </c>
      <c r="M381" s="1" t="s">
        <v>626</v>
      </c>
      <c r="N381" s="1" t="s">
        <v>235</v>
      </c>
      <c r="O381" s="1">
        <v>126.19</v>
      </c>
      <c r="P381" s="1">
        <v>2</v>
      </c>
      <c r="Q381" s="1">
        <f t="shared" si="69"/>
        <v>252.38</v>
      </c>
      <c r="R381" s="1" t="s">
        <v>29</v>
      </c>
      <c r="S381" s="1">
        <f t="shared" si="70"/>
        <v>20.1904</v>
      </c>
      <c r="T381" s="1">
        <f t="shared" si="71"/>
        <v>232.18959999999998</v>
      </c>
      <c r="U381" s="1">
        <v>7</v>
      </c>
      <c r="V381" s="1">
        <f t="shared" si="72"/>
        <v>280.18959999999998</v>
      </c>
      <c r="W381" s="1">
        <v>48</v>
      </c>
      <c r="X381" s="2">
        <v>45496</v>
      </c>
      <c r="Y381" s="1" t="s">
        <v>627</v>
      </c>
      <c r="Z381" s="1">
        <f t="shared" si="73"/>
        <v>300.38</v>
      </c>
      <c r="AA381" s="1">
        <f t="shared" si="74"/>
        <v>1</v>
      </c>
      <c r="AB381" s="1" t="str">
        <f t="shared" si="75"/>
        <v>BeforeTime</v>
      </c>
      <c r="AC381" s="1">
        <f t="shared" si="76"/>
        <v>252.38</v>
      </c>
      <c r="AD381" s="7">
        <f t="shared" si="77"/>
        <v>0.08</v>
      </c>
      <c r="AE381" s="1">
        <f t="shared" si="78"/>
        <v>20.1904</v>
      </c>
      <c r="AF381" s="1">
        <f t="shared" si="79"/>
        <v>68.190399999999997</v>
      </c>
    </row>
    <row r="382" spans="1:32" ht="14.25" customHeight="1" x14ac:dyDescent="0.3">
      <c r="A382" s="1" t="s">
        <v>1072</v>
      </c>
      <c r="B382" s="1" t="s">
        <v>211</v>
      </c>
      <c r="C382" s="1" t="s">
        <v>1073</v>
      </c>
      <c r="D382" s="1" t="str">
        <f t="shared" si="67"/>
        <v>Mark Summers</v>
      </c>
      <c r="E382" s="1">
        <v>55</v>
      </c>
      <c r="F382" s="1" t="s">
        <v>34</v>
      </c>
      <c r="G382" s="1" t="s">
        <v>152</v>
      </c>
      <c r="H382" s="1" t="s">
        <v>1074</v>
      </c>
      <c r="I382" s="1" t="s">
        <v>1075</v>
      </c>
      <c r="J382" s="1" t="s">
        <v>1076</v>
      </c>
      <c r="K382" s="2">
        <v>45168</v>
      </c>
      <c r="L382" s="2" t="str">
        <f t="shared" si="68"/>
        <v>August</v>
      </c>
      <c r="M382" s="1" t="s">
        <v>1077</v>
      </c>
      <c r="N382" s="1" t="s">
        <v>235</v>
      </c>
      <c r="O382" s="1">
        <v>126.19</v>
      </c>
      <c r="P382" s="1">
        <v>2</v>
      </c>
      <c r="Q382" s="1">
        <f t="shared" si="69"/>
        <v>252.38</v>
      </c>
      <c r="R382" s="1" t="s">
        <v>56</v>
      </c>
      <c r="S382" s="1">
        <f t="shared" si="70"/>
        <v>0</v>
      </c>
      <c r="T382" s="1">
        <f t="shared" si="71"/>
        <v>252.38</v>
      </c>
      <c r="U382" s="1">
        <v>5</v>
      </c>
      <c r="V382" s="1">
        <f t="shared" si="72"/>
        <v>311.38</v>
      </c>
      <c r="W382" s="1">
        <v>59</v>
      </c>
      <c r="X382" s="2">
        <v>45174</v>
      </c>
      <c r="Y382" s="1" t="s">
        <v>1078</v>
      </c>
      <c r="Z382" s="1">
        <f t="shared" si="73"/>
        <v>311.38</v>
      </c>
      <c r="AA382" s="1">
        <f t="shared" si="74"/>
        <v>6</v>
      </c>
      <c r="AB382" s="1" t="str">
        <f t="shared" si="75"/>
        <v>Late</v>
      </c>
      <c r="AC382" s="1">
        <f t="shared" si="76"/>
        <v>252.38</v>
      </c>
      <c r="AD382" s="7">
        <f t="shared" si="77"/>
        <v>0</v>
      </c>
      <c r="AE382" s="1">
        <f t="shared" si="78"/>
        <v>0</v>
      </c>
      <c r="AF382" s="1">
        <f t="shared" si="79"/>
        <v>0</v>
      </c>
    </row>
    <row r="383" spans="1:32" ht="14.25" customHeight="1" x14ac:dyDescent="0.3">
      <c r="A383" s="1" t="s">
        <v>639</v>
      </c>
      <c r="B383" s="1" t="s">
        <v>640</v>
      </c>
      <c r="C383" s="1" t="s">
        <v>641</v>
      </c>
      <c r="D383" s="1" t="str">
        <f t="shared" si="67"/>
        <v>Beth Mason</v>
      </c>
      <c r="E383" s="1">
        <v>45</v>
      </c>
      <c r="F383" s="1" t="s">
        <v>45</v>
      </c>
      <c r="G383" s="1" t="s">
        <v>83</v>
      </c>
      <c r="H383" s="1" t="s">
        <v>642</v>
      </c>
      <c r="I383" s="1" t="s">
        <v>643</v>
      </c>
      <c r="J383" s="1" t="s">
        <v>1763</v>
      </c>
      <c r="K383" s="2">
        <v>45190</v>
      </c>
      <c r="L383" s="2" t="str">
        <f t="shared" si="68"/>
        <v>September</v>
      </c>
      <c r="M383" s="1" t="s">
        <v>1764</v>
      </c>
      <c r="N383" s="1" t="s">
        <v>235</v>
      </c>
      <c r="O383" s="1">
        <v>126.19</v>
      </c>
      <c r="P383" s="1">
        <v>2</v>
      </c>
      <c r="Q383" s="1">
        <f t="shared" si="69"/>
        <v>252.38</v>
      </c>
      <c r="R383" s="1" t="s">
        <v>78</v>
      </c>
      <c r="S383" s="1">
        <f t="shared" si="70"/>
        <v>50.475999999999999</v>
      </c>
      <c r="T383" s="1">
        <f t="shared" si="71"/>
        <v>201.904</v>
      </c>
      <c r="U383" s="1">
        <v>4</v>
      </c>
      <c r="V383" s="1">
        <f t="shared" si="72"/>
        <v>268.904</v>
      </c>
      <c r="W383" s="1">
        <v>67</v>
      </c>
      <c r="X383" s="2">
        <v>45196</v>
      </c>
      <c r="Y383" s="1" t="s">
        <v>1765</v>
      </c>
      <c r="Z383" s="1">
        <f t="shared" si="73"/>
        <v>319.38</v>
      </c>
      <c r="AA383" s="1">
        <f t="shared" si="74"/>
        <v>6</v>
      </c>
      <c r="AB383" s="1" t="str">
        <f t="shared" si="75"/>
        <v>Late</v>
      </c>
      <c r="AC383" s="1">
        <f t="shared" si="76"/>
        <v>252.38</v>
      </c>
      <c r="AD383" s="7">
        <f t="shared" si="77"/>
        <v>0.2</v>
      </c>
      <c r="AE383" s="1">
        <f t="shared" si="78"/>
        <v>50.475999999999999</v>
      </c>
      <c r="AF383" s="1">
        <f t="shared" si="79"/>
        <v>117.476</v>
      </c>
    </row>
    <row r="384" spans="1:32" ht="14.25" customHeight="1" x14ac:dyDescent="0.3">
      <c r="A384" s="1" t="s">
        <v>664</v>
      </c>
      <c r="B384" s="1" t="s">
        <v>665</v>
      </c>
      <c r="C384" s="1" t="s">
        <v>666</v>
      </c>
      <c r="D384" s="1" t="str">
        <f t="shared" si="67"/>
        <v>Christy Chang</v>
      </c>
      <c r="E384" s="1">
        <v>38</v>
      </c>
      <c r="F384" s="1" t="s">
        <v>34</v>
      </c>
      <c r="G384" s="1" t="s">
        <v>213</v>
      </c>
      <c r="H384" s="1" t="s">
        <v>667</v>
      </c>
      <c r="I384" s="1" t="s">
        <v>668</v>
      </c>
      <c r="J384" s="1" t="s">
        <v>969</v>
      </c>
      <c r="K384" s="2">
        <v>45318</v>
      </c>
      <c r="L384" s="2" t="str">
        <f t="shared" si="68"/>
        <v>January</v>
      </c>
      <c r="M384" s="1" t="s">
        <v>970</v>
      </c>
      <c r="N384" s="1" t="s">
        <v>263</v>
      </c>
      <c r="O384" s="1">
        <v>62.42</v>
      </c>
      <c r="P384" s="1">
        <v>4</v>
      </c>
      <c r="Q384" s="1">
        <f t="shared" si="69"/>
        <v>249.68</v>
      </c>
      <c r="R384" s="1" t="s">
        <v>78</v>
      </c>
      <c r="S384" s="1">
        <f t="shared" si="70"/>
        <v>49.936000000000007</v>
      </c>
      <c r="T384" s="1">
        <f t="shared" si="71"/>
        <v>199.744</v>
      </c>
      <c r="U384" s="1">
        <v>4</v>
      </c>
      <c r="V384" s="1">
        <f t="shared" si="72"/>
        <v>236.744</v>
      </c>
      <c r="W384" s="1">
        <v>37</v>
      </c>
      <c r="X384" s="2">
        <v>45321</v>
      </c>
      <c r="Y384" s="1" t="s">
        <v>971</v>
      </c>
      <c r="Z384" s="1">
        <f t="shared" si="73"/>
        <v>286.68</v>
      </c>
      <c r="AA384" s="1">
        <f t="shared" si="74"/>
        <v>3</v>
      </c>
      <c r="AB384" s="1" t="str">
        <f t="shared" si="75"/>
        <v>BeforeTime</v>
      </c>
      <c r="AC384" s="1">
        <f t="shared" si="76"/>
        <v>249.68</v>
      </c>
      <c r="AD384" s="7">
        <f t="shared" si="77"/>
        <v>0.2</v>
      </c>
      <c r="AE384" s="1">
        <f t="shared" si="78"/>
        <v>49.936000000000007</v>
      </c>
      <c r="AF384" s="1">
        <f t="shared" si="79"/>
        <v>86.936000000000007</v>
      </c>
    </row>
    <row r="385" spans="1:32" ht="14.25" customHeight="1" x14ac:dyDescent="0.3">
      <c r="A385" s="1" t="s">
        <v>140</v>
      </c>
      <c r="B385" s="1" t="s">
        <v>141</v>
      </c>
      <c r="C385" s="1" t="s">
        <v>142</v>
      </c>
      <c r="D385" s="1" t="str">
        <f t="shared" si="67"/>
        <v>Amy Reid</v>
      </c>
      <c r="E385" s="1">
        <v>44</v>
      </c>
      <c r="F385" s="1" t="s">
        <v>34</v>
      </c>
      <c r="G385" s="1" t="s">
        <v>83</v>
      </c>
      <c r="H385" s="1" t="s">
        <v>143</v>
      </c>
      <c r="I385" s="1" t="s">
        <v>144</v>
      </c>
      <c r="J385" s="1" t="s">
        <v>1345</v>
      </c>
      <c r="K385" s="2">
        <v>45422</v>
      </c>
      <c r="L385" s="2" t="str">
        <f t="shared" si="68"/>
        <v>May</v>
      </c>
      <c r="M385" s="1" t="s">
        <v>1346</v>
      </c>
      <c r="N385" s="1" t="s">
        <v>263</v>
      </c>
      <c r="O385" s="1">
        <v>62.42</v>
      </c>
      <c r="P385" s="1">
        <v>4</v>
      </c>
      <c r="Q385" s="1">
        <f t="shared" si="69"/>
        <v>249.68</v>
      </c>
      <c r="R385" s="1" t="s">
        <v>51</v>
      </c>
      <c r="S385" s="1">
        <f t="shared" si="70"/>
        <v>37.451999999999998</v>
      </c>
      <c r="T385" s="1">
        <f t="shared" si="71"/>
        <v>212.22800000000001</v>
      </c>
      <c r="U385" s="1">
        <v>1</v>
      </c>
      <c r="V385" s="1">
        <f t="shared" si="72"/>
        <v>279.22800000000001</v>
      </c>
      <c r="W385" s="1">
        <v>67</v>
      </c>
      <c r="X385" s="2">
        <v>45426</v>
      </c>
      <c r="Y385" s="1" t="s">
        <v>1347</v>
      </c>
      <c r="Z385" s="1">
        <f t="shared" si="73"/>
        <v>316.68</v>
      </c>
      <c r="AA385" s="1">
        <f t="shared" si="74"/>
        <v>4</v>
      </c>
      <c r="AB385" s="1" t="str">
        <f t="shared" si="75"/>
        <v>Late</v>
      </c>
      <c r="AC385" s="1">
        <f t="shared" si="76"/>
        <v>249.68</v>
      </c>
      <c r="AD385" s="7">
        <f t="shared" si="77"/>
        <v>0.15</v>
      </c>
      <c r="AE385" s="1">
        <f t="shared" si="78"/>
        <v>37.451999999999998</v>
      </c>
      <c r="AF385" s="1">
        <f t="shared" si="79"/>
        <v>104.452</v>
      </c>
    </row>
    <row r="386" spans="1:32" ht="14.25" customHeight="1" x14ac:dyDescent="0.3">
      <c r="A386" s="1" t="s">
        <v>1072</v>
      </c>
      <c r="B386" s="1" t="s">
        <v>211</v>
      </c>
      <c r="C386" s="1" t="s">
        <v>1073</v>
      </c>
      <c r="D386" s="1" t="str">
        <f t="shared" ref="D386:D449" si="80">_xlfn.CONCAT(B386," ",C386)</f>
        <v>Mark Summers</v>
      </c>
      <c r="E386" s="1">
        <v>55</v>
      </c>
      <c r="F386" s="1" t="s">
        <v>34</v>
      </c>
      <c r="G386" s="1" t="s">
        <v>152</v>
      </c>
      <c r="H386" s="1" t="s">
        <v>1074</v>
      </c>
      <c r="I386" s="1" t="s">
        <v>1075</v>
      </c>
      <c r="J386" s="1" t="s">
        <v>1387</v>
      </c>
      <c r="K386" s="2">
        <v>45414</v>
      </c>
      <c r="L386" s="2" t="str">
        <f t="shared" ref="L386:L449" si="81">TEXT(K386,"mmmm")</f>
        <v>May</v>
      </c>
      <c r="M386" s="1" t="s">
        <v>1388</v>
      </c>
      <c r="N386" s="1" t="s">
        <v>263</v>
      </c>
      <c r="O386" s="1">
        <v>62.42</v>
      </c>
      <c r="P386" s="1">
        <v>4</v>
      </c>
      <c r="Q386" s="1">
        <f t="shared" ref="Q386:Q449" si="82">O386*P386</f>
        <v>249.68</v>
      </c>
      <c r="R386" s="1" t="s">
        <v>89</v>
      </c>
      <c r="S386" s="1">
        <f t="shared" ref="S386:S449" si="83">IF(R386="FLAT8",O386*P386*8%,IF(R386="FLAT10",O386*P386*10%,IF(R386="FLAT15",O386*P386*15%,IF(R386="FLAT20",O386*P386*20%,0))))</f>
        <v>24.968000000000004</v>
      </c>
      <c r="T386" s="1">
        <f t="shared" ref="T386:T449" si="84">Q386-S386</f>
        <v>224.71199999999999</v>
      </c>
      <c r="U386" s="1">
        <v>6</v>
      </c>
      <c r="V386" s="1">
        <f t="shared" ref="V386:V449" si="85">T386+W386</f>
        <v>267.71199999999999</v>
      </c>
      <c r="W386" s="1">
        <v>43</v>
      </c>
      <c r="X386" s="2">
        <v>45420</v>
      </c>
      <c r="Y386" s="1" t="s">
        <v>1389</v>
      </c>
      <c r="Z386" s="1">
        <f t="shared" ref="Z386:Z449" si="86">(O386*P386)+W386</f>
        <v>292.68</v>
      </c>
      <c r="AA386" s="1">
        <f t="shared" ref="AA386:AA449" si="87">X386-K386</f>
        <v>6</v>
      </c>
      <c r="AB386" s="1" t="str">
        <f t="shared" ref="AB386:AB449" si="88">IF(AA386&gt;U386,"Late",IF(AA386=U386,"Intime","BeforeTime"))</f>
        <v>Intime</v>
      </c>
      <c r="AC386" s="1">
        <f t="shared" ref="AC386:AC449" si="89">O386*P386</f>
        <v>249.68</v>
      </c>
      <c r="AD386" s="7">
        <f t="shared" ref="AD386:AD449" si="90">IF(R386="FLAT8",8%,IF(R386="FLAT10",10%,IF(R386="FLAT15",15%,IF(R386="FLAT20",20%,0))))</f>
        <v>0.1</v>
      </c>
      <c r="AE386" s="1">
        <f t="shared" ref="AE386:AE449" si="91">Q386*AD386</f>
        <v>24.968000000000004</v>
      </c>
      <c r="AF386" s="1">
        <f t="shared" ref="AF386:AF449" si="92">IF(R386="DEL0",AE386,AE386+W386)</f>
        <v>67.968000000000004</v>
      </c>
    </row>
    <row r="387" spans="1:32" ht="14.25" customHeight="1" x14ac:dyDescent="0.3">
      <c r="A387" s="1" t="s">
        <v>476</v>
      </c>
      <c r="B387" s="1" t="s">
        <v>477</v>
      </c>
      <c r="C387" s="1" t="s">
        <v>123</v>
      </c>
      <c r="D387" s="1" t="str">
        <f t="shared" si="80"/>
        <v>Brittany Stewart</v>
      </c>
      <c r="E387" s="1">
        <v>68</v>
      </c>
      <c r="F387" s="1" t="s">
        <v>45</v>
      </c>
      <c r="G387" s="1" t="s">
        <v>213</v>
      </c>
      <c r="H387" s="1" t="s">
        <v>478</v>
      </c>
      <c r="I387" s="1" t="s">
        <v>479</v>
      </c>
      <c r="J387" s="1" t="s">
        <v>2022</v>
      </c>
      <c r="K387" s="2">
        <v>45590</v>
      </c>
      <c r="L387" s="2" t="str">
        <f t="shared" si="81"/>
        <v>October</v>
      </c>
      <c r="M387" s="1" t="s">
        <v>2023</v>
      </c>
      <c r="N387" s="1" t="s">
        <v>263</v>
      </c>
      <c r="O387" s="1">
        <v>62.42</v>
      </c>
      <c r="P387" s="1">
        <v>4</v>
      </c>
      <c r="Q387" s="1">
        <f t="shared" si="82"/>
        <v>249.68</v>
      </c>
      <c r="R387" s="1" t="s">
        <v>56</v>
      </c>
      <c r="S387" s="1">
        <f t="shared" si="83"/>
        <v>0</v>
      </c>
      <c r="T387" s="1">
        <f t="shared" si="84"/>
        <v>249.68</v>
      </c>
      <c r="U387" s="1">
        <v>4</v>
      </c>
      <c r="V387" s="1">
        <f t="shared" si="85"/>
        <v>286.68</v>
      </c>
      <c r="W387" s="1">
        <v>37</v>
      </c>
      <c r="X387" s="2">
        <v>45597</v>
      </c>
      <c r="Y387" s="1" t="s">
        <v>2024</v>
      </c>
      <c r="Z387" s="1">
        <f t="shared" si="86"/>
        <v>286.68</v>
      </c>
      <c r="AA387" s="1">
        <f t="shared" si="87"/>
        <v>7</v>
      </c>
      <c r="AB387" s="1" t="str">
        <f t="shared" si="88"/>
        <v>Late</v>
      </c>
      <c r="AC387" s="1">
        <f t="shared" si="89"/>
        <v>249.68</v>
      </c>
      <c r="AD387" s="7">
        <f t="shared" si="90"/>
        <v>0</v>
      </c>
      <c r="AE387" s="1">
        <f t="shared" si="91"/>
        <v>0</v>
      </c>
      <c r="AF387" s="1">
        <f t="shared" si="92"/>
        <v>0</v>
      </c>
    </row>
    <row r="388" spans="1:32" ht="14.25" customHeight="1" x14ac:dyDescent="0.3">
      <c r="A388" s="1" t="s">
        <v>568</v>
      </c>
      <c r="B388" s="1" t="s">
        <v>249</v>
      </c>
      <c r="C388" s="1" t="s">
        <v>569</v>
      </c>
      <c r="D388" s="1" t="str">
        <f t="shared" si="80"/>
        <v>Ashley Romero</v>
      </c>
      <c r="E388" s="1">
        <v>35</v>
      </c>
      <c r="F388" s="1" t="s">
        <v>22</v>
      </c>
      <c r="G388" s="1" t="s">
        <v>23</v>
      </c>
      <c r="H388" s="1" t="s">
        <v>570</v>
      </c>
      <c r="I388" s="1" t="s">
        <v>571</v>
      </c>
      <c r="J388" s="1" t="s">
        <v>872</v>
      </c>
      <c r="K388" s="2">
        <v>45581</v>
      </c>
      <c r="L388" s="2" t="str">
        <f t="shared" si="81"/>
        <v>October</v>
      </c>
      <c r="M388" s="1" t="s">
        <v>873</v>
      </c>
      <c r="N388" s="1" t="s">
        <v>107</v>
      </c>
      <c r="O388" s="1">
        <v>48.45</v>
      </c>
      <c r="P388" s="1">
        <v>5</v>
      </c>
      <c r="Q388" s="1">
        <f t="shared" si="82"/>
        <v>242.25</v>
      </c>
      <c r="R388" s="1" t="s">
        <v>89</v>
      </c>
      <c r="S388" s="1">
        <f t="shared" si="83"/>
        <v>24.225000000000001</v>
      </c>
      <c r="T388" s="1">
        <f t="shared" si="84"/>
        <v>218.02500000000001</v>
      </c>
      <c r="U388" s="1">
        <v>7</v>
      </c>
      <c r="V388" s="1">
        <f t="shared" si="85"/>
        <v>271.02499999999998</v>
      </c>
      <c r="W388" s="1">
        <v>53</v>
      </c>
      <c r="X388" s="2">
        <v>45588</v>
      </c>
      <c r="Y388" s="1" t="s">
        <v>874</v>
      </c>
      <c r="Z388" s="1">
        <f t="shared" si="86"/>
        <v>295.25</v>
      </c>
      <c r="AA388" s="1">
        <f t="shared" si="87"/>
        <v>7</v>
      </c>
      <c r="AB388" s="1" t="str">
        <f t="shared" si="88"/>
        <v>Intime</v>
      </c>
      <c r="AC388" s="1">
        <f t="shared" si="89"/>
        <v>242.25</v>
      </c>
      <c r="AD388" s="7">
        <f t="shared" si="90"/>
        <v>0.1</v>
      </c>
      <c r="AE388" s="1">
        <f t="shared" si="91"/>
        <v>24.225000000000001</v>
      </c>
      <c r="AF388" s="1">
        <f t="shared" si="92"/>
        <v>77.224999999999994</v>
      </c>
    </row>
    <row r="389" spans="1:32" ht="14.25" customHeight="1" x14ac:dyDescent="0.3">
      <c r="A389" s="1" t="s">
        <v>832</v>
      </c>
      <c r="B389" s="1" t="s">
        <v>833</v>
      </c>
      <c r="C389" s="1" t="s">
        <v>834</v>
      </c>
      <c r="D389" s="1" t="str">
        <f t="shared" si="80"/>
        <v>Leslie Montgomery</v>
      </c>
      <c r="E389" s="1">
        <v>26</v>
      </c>
      <c r="F389" s="1" t="s">
        <v>34</v>
      </c>
      <c r="G389" s="1" t="s">
        <v>152</v>
      </c>
      <c r="H389" s="1" t="s">
        <v>835</v>
      </c>
      <c r="I389" s="1" t="s">
        <v>836</v>
      </c>
      <c r="J389" s="1" t="s">
        <v>837</v>
      </c>
      <c r="K389" s="2">
        <v>45226</v>
      </c>
      <c r="L389" s="2" t="str">
        <f t="shared" si="81"/>
        <v>October</v>
      </c>
      <c r="M389" s="1" t="s">
        <v>838</v>
      </c>
      <c r="N389" s="1" t="s">
        <v>650</v>
      </c>
      <c r="O389" s="1">
        <v>235.63</v>
      </c>
      <c r="P389" s="1">
        <v>1</v>
      </c>
      <c r="Q389" s="1">
        <f t="shared" si="82"/>
        <v>235.63</v>
      </c>
      <c r="R389" s="1" t="s">
        <v>78</v>
      </c>
      <c r="S389" s="1">
        <f t="shared" si="83"/>
        <v>47.126000000000005</v>
      </c>
      <c r="T389" s="1">
        <f t="shared" si="84"/>
        <v>188.50399999999999</v>
      </c>
      <c r="U389" s="1">
        <v>2</v>
      </c>
      <c r="V389" s="1">
        <f t="shared" si="85"/>
        <v>254.50399999999999</v>
      </c>
      <c r="W389" s="1">
        <v>66</v>
      </c>
      <c r="X389" s="2">
        <v>45233</v>
      </c>
      <c r="Y389" s="1" t="s">
        <v>839</v>
      </c>
      <c r="Z389" s="1">
        <f t="shared" si="86"/>
        <v>301.63</v>
      </c>
      <c r="AA389" s="1">
        <f t="shared" si="87"/>
        <v>7</v>
      </c>
      <c r="AB389" s="1" t="str">
        <f t="shared" si="88"/>
        <v>Late</v>
      </c>
      <c r="AC389" s="1">
        <f t="shared" si="89"/>
        <v>235.63</v>
      </c>
      <c r="AD389" s="7">
        <f t="shared" si="90"/>
        <v>0.2</v>
      </c>
      <c r="AE389" s="1">
        <f t="shared" si="91"/>
        <v>47.126000000000005</v>
      </c>
      <c r="AF389" s="1">
        <f t="shared" si="92"/>
        <v>113.126</v>
      </c>
    </row>
    <row r="390" spans="1:32" ht="14.25" customHeight="1" x14ac:dyDescent="0.3">
      <c r="A390" s="1" t="s">
        <v>1096</v>
      </c>
      <c r="B390" s="1" t="s">
        <v>1097</v>
      </c>
      <c r="C390" s="1" t="s">
        <v>1098</v>
      </c>
      <c r="D390" s="1" t="str">
        <f t="shared" si="80"/>
        <v>Gary Huff</v>
      </c>
      <c r="E390" s="1">
        <v>18</v>
      </c>
      <c r="F390" s="1" t="s">
        <v>22</v>
      </c>
      <c r="G390" s="1" t="s">
        <v>69</v>
      </c>
      <c r="H390" s="1" t="s">
        <v>1099</v>
      </c>
      <c r="I390" s="1" t="s">
        <v>1100</v>
      </c>
      <c r="J390" s="1" t="s">
        <v>1101</v>
      </c>
      <c r="K390" s="2">
        <v>45349</v>
      </c>
      <c r="L390" s="2" t="str">
        <f t="shared" si="81"/>
        <v>February</v>
      </c>
      <c r="M390" s="1" t="s">
        <v>1102</v>
      </c>
      <c r="N390" s="1" t="s">
        <v>650</v>
      </c>
      <c r="O390" s="1">
        <v>235.63</v>
      </c>
      <c r="P390" s="1">
        <v>1</v>
      </c>
      <c r="Q390" s="1">
        <f t="shared" si="82"/>
        <v>235.63</v>
      </c>
      <c r="R390" s="1" t="s">
        <v>29</v>
      </c>
      <c r="S390" s="1">
        <f t="shared" si="83"/>
        <v>18.8504</v>
      </c>
      <c r="T390" s="1">
        <f t="shared" si="84"/>
        <v>216.77959999999999</v>
      </c>
      <c r="U390" s="1">
        <v>6</v>
      </c>
      <c r="V390" s="1">
        <f t="shared" si="85"/>
        <v>274.77959999999996</v>
      </c>
      <c r="W390" s="1">
        <v>58</v>
      </c>
      <c r="X390" s="2">
        <v>45354</v>
      </c>
      <c r="Y390" s="1" t="s">
        <v>1103</v>
      </c>
      <c r="Z390" s="1">
        <f t="shared" si="86"/>
        <v>293.63</v>
      </c>
      <c r="AA390" s="1">
        <f t="shared" si="87"/>
        <v>5</v>
      </c>
      <c r="AB390" s="1" t="str">
        <f t="shared" si="88"/>
        <v>BeforeTime</v>
      </c>
      <c r="AC390" s="1">
        <f t="shared" si="89"/>
        <v>235.63</v>
      </c>
      <c r="AD390" s="7">
        <f t="shared" si="90"/>
        <v>0.08</v>
      </c>
      <c r="AE390" s="1">
        <f t="shared" si="91"/>
        <v>18.8504</v>
      </c>
      <c r="AF390" s="1">
        <f t="shared" si="92"/>
        <v>76.850400000000008</v>
      </c>
    </row>
    <row r="391" spans="1:32" ht="14.25" customHeight="1" x14ac:dyDescent="0.3">
      <c r="A391" s="1" t="s">
        <v>1203</v>
      </c>
      <c r="B391" s="1" t="s">
        <v>1204</v>
      </c>
      <c r="C391" s="1" t="s">
        <v>1205</v>
      </c>
      <c r="D391" s="1" t="str">
        <f t="shared" si="80"/>
        <v>Brendan Kelly</v>
      </c>
      <c r="E391" s="1">
        <v>50</v>
      </c>
      <c r="F391" s="1" t="s">
        <v>45</v>
      </c>
      <c r="G391" s="1" t="s">
        <v>161</v>
      </c>
      <c r="H391" s="1" t="s">
        <v>1206</v>
      </c>
      <c r="I391" s="1" t="s">
        <v>1207</v>
      </c>
      <c r="J391" s="1" t="s">
        <v>1447</v>
      </c>
      <c r="K391" s="2">
        <v>45684</v>
      </c>
      <c r="L391" s="2" t="str">
        <f t="shared" si="81"/>
        <v>January</v>
      </c>
      <c r="M391" s="1" t="s">
        <v>1448</v>
      </c>
      <c r="N391" s="1" t="s">
        <v>650</v>
      </c>
      <c r="O391" s="1">
        <v>235.63</v>
      </c>
      <c r="P391" s="1">
        <v>1</v>
      </c>
      <c r="Q391" s="1">
        <f t="shared" si="82"/>
        <v>235.63</v>
      </c>
      <c r="R391" s="1" t="s">
        <v>78</v>
      </c>
      <c r="S391" s="1">
        <f t="shared" si="83"/>
        <v>47.126000000000005</v>
      </c>
      <c r="T391" s="1">
        <f t="shared" si="84"/>
        <v>188.50399999999999</v>
      </c>
      <c r="U391" s="1">
        <v>7</v>
      </c>
      <c r="V391" s="1">
        <f t="shared" si="85"/>
        <v>234.50399999999999</v>
      </c>
      <c r="W391" s="1">
        <v>46</v>
      </c>
      <c r="X391" s="2">
        <v>45689</v>
      </c>
      <c r="Y391" s="1" t="s">
        <v>1449</v>
      </c>
      <c r="Z391" s="1">
        <f t="shared" si="86"/>
        <v>281.63</v>
      </c>
      <c r="AA391" s="1">
        <f t="shared" si="87"/>
        <v>5</v>
      </c>
      <c r="AB391" s="1" t="str">
        <f t="shared" si="88"/>
        <v>BeforeTime</v>
      </c>
      <c r="AC391" s="1">
        <f t="shared" si="89"/>
        <v>235.63</v>
      </c>
      <c r="AD391" s="7">
        <f t="shared" si="90"/>
        <v>0.2</v>
      </c>
      <c r="AE391" s="1">
        <f t="shared" si="91"/>
        <v>47.126000000000005</v>
      </c>
      <c r="AF391" s="1">
        <f t="shared" si="92"/>
        <v>93.126000000000005</v>
      </c>
    </row>
    <row r="392" spans="1:32" ht="14.25" customHeight="1" x14ac:dyDescent="0.3">
      <c r="A392" s="1" t="s">
        <v>248</v>
      </c>
      <c r="B392" s="1" t="s">
        <v>249</v>
      </c>
      <c r="C392" s="1" t="s">
        <v>250</v>
      </c>
      <c r="D392" s="1" t="str">
        <f t="shared" si="80"/>
        <v>Ashley Rose</v>
      </c>
      <c r="E392" s="1">
        <v>60</v>
      </c>
      <c r="F392" s="1" t="s">
        <v>45</v>
      </c>
      <c r="G392" s="1" t="s">
        <v>23</v>
      </c>
      <c r="H392" s="1" t="s">
        <v>251</v>
      </c>
      <c r="I392" s="1" t="s">
        <v>252</v>
      </c>
      <c r="J392" s="1" t="s">
        <v>1512</v>
      </c>
      <c r="K392" s="2">
        <v>45498</v>
      </c>
      <c r="L392" s="2" t="str">
        <f t="shared" si="81"/>
        <v>July</v>
      </c>
      <c r="M392" s="1" t="s">
        <v>1513</v>
      </c>
      <c r="N392" s="1" t="s">
        <v>650</v>
      </c>
      <c r="O392" s="1">
        <v>235.63</v>
      </c>
      <c r="P392" s="1">
        <v>1</v>
      </c>
      <c r="Q392" s="1">
        <f t="shared" si="82"/>
        <v>235.63</v>
      </c>
      <c r="R392" s="1" t="s">
        <v>89</v>
      </c>
      <c r="S392" s="1">
        <f t="shared" si="83"/>
        <v>23.563000000000002</v>
      </c>
      <c r="T392" s="1">
        <f t="shared" si="84"/>
        <v>212.06700000000001</v>
      </c>
      <c r="U392" s="1">
        <v>1</v>
      </c>
      <c r="V392" s="1">
        <f t="shared" si="85"/>
        <v>250.06700000000001</v>
      </c>
      <c r="W392" s="1">
        <v>38</v>
      </c>
      <c r="X392" s="2">
        <v>45504</v>
      </c>
      <c r="Y392" s="1" t="s">
        <v>1514</v>
      </c>
      <c r="Z392" s="1">
        <f t="shared" si="86"/>
        <v>273.63</v>
      </c>
      <c r="AA392" s="1">
        <f t="shared" si="87"/>
        <v>6</v>
      </c>
      <c r="AB392" s="1" t="str">
        <f t="shared" si="88"/>
        <v>Late</v>
      </c>
      <c r="AC392" s="1">
        <f t="shared" si="89"/>
        <v>235.63</v>
      </c>
      <c r="AD392" s="7">
        <f t="shared" si="90"/>
        <v>0.1</v>
      </c>
      <c r="AE392" s="1">
        <f t="shared" si="91"/>
        <v>23.563000000000002</v>
      </c>
      <c r="AF392" s="1">
        <f t="shared" si="92"/>
        <v>61.563000000000002</v>
      </c>
    </row>
    <row r="393" spans="1:32" ht="14.25" customHeight="1" x14ac:dyDescent="0.3">
      <c r="A393" s="1" t="s">
        <v>840</v>
      </c>
      <c r="B393" s="1" t="s">
        <v>841</v>
      </c>
      <c r="C393" s="1" t="s">
        <v>380</v>
      </c>
      <c r="D393" s="1" t="str">
        <f t="shared" si="80"/>
        <v>Susan Thompson</v>
      </c>
      <c r="E393" s="1">
        <v>37</v>
      </c>
      <c r="F393" s="1" t="s">
        <v>45</v>
      </c>
      <c r="G393" s="1" t="s">
        <v>213</v>
      </c>
      <c r="H393" s="1" t="s">
        <v>842</v>
      </c>
      <c r="I393" s="1" t="s">
        <v>843</v>
      </c>
      <c r="J393" s="1" t="s">
        <v>1574</v>
      </c>
      <c r="K393" s="2">
        <v>45187</v>
      </c>
      <c r="L393" s="2" t="str">
        <f t="shared" si="81"/>
        <v>September</v>
      </c>
      <c r="M393" s="1" t="s">
        <v>1575</v>
      </c>
      <c r="N393" s="1" t="s">
        <v>650</v>
      </c>
      <c r="O393" s="1">
        <v>235.63</v>
      </c>
      <c r="P393" s="1">
        <v>1</v>
      </c>
      <c r="Q393" s="1">
        <f t="shared" si="82"/>
        <v>235.63</v>
      </c>
      <c r="R393" s="1" t="s">
        <v>78</v>
      </c>
      <c r="S393" s="1">
        <f t="shared" si="83"/>
        <v>47.126000000000005</v>
      </c>
      <c r="T393" s="1">
        <f t="shared" si="84"/>
        <v>188.50399999999999</v>
      </c>
      <c r="U393" s="1">
        <v>5</v>
      </c>
      <c r="V393" s="1">
        <f t="shared" si="85"/>
        <v>247.50399999999999</v>
      </c>
      <c r="W393" s="1">
        <v>59</v>
      </c>
      <c r="X393" s="2">
        <v>45192</v>
      </c>
      <c r="Y393" s="1" t="s">
        <v>1576</v>
      </c>
      <c r="Z393" s="1">
        <f t="shared" si="86"/>
        <v>294.63</v>
      </c>
      <c r="AA393" s="1">
        <f t="shared" si="87"/>
        <v>5</v>
      </c>
      <c r="AB393" s="1" t="str">
        <f t="shared" si="88"/>
        <v>Intime</v>
      </c>
      <c r="AC393" s="1">
        <f t="shared" si="89"/>
        <v>235.63</v>
      </c>
      <c r="AD393" s="7">
        <f t="shared" si="90"/>
        <v>0.2</v>
      </c>
      <c r="AE393" s="1">
        <f t="shared" si="91"/>
        <v>47.126000000000005</v>
      </c>
      <c r="AF393" s="1">
        <f t="shared" si="92"/>
        <v>106.126</v>
      </c>
    </row>
    <row r="394" spans="1:32" ht="14.25" customHeight="1" x14ac:dyDescent="0.3">
      <c r="A394" s="1" t="s">
        <v>229</v>
      </c>
      <c r="B394" s="1" t="s">
        <v>59</v>
      </c>
      <c r="C394" s="1" t="s">
        <v>230</v>
      </c>
      <c r="D394" s="1" t="str">
        <f t="shared" si="80"/>
        <v>Angela Evans</v>
      </c>
      <c r="E394" s="1">
        <v>52</v>
      </c>
      <c r="F394" s="1" t="s">
        <v>45</v>
      </c>
      <c r="G394" s="1" t="s">
        <v>35</v>
      </c>
      <c r="H394" s="1" t="s">
        <v>231</v>
      </c>
      <c r="I394" s="1" t="s">
        <v>232</v>
      </c>
      <c r="J394" s="1" t="s">
        <v>1798</v>
      </c>
      <c r="K394" s="2">
        <v>45269</v>
      </c>
      <c r="L394" s="2" t="str">
        <f t="shared" si="81"/>
        <v>December</v>
      </c>
      <c r="M394" s="1" t="s">
        <v>1799</v>
      </c>
      <c r="N394" s="1" t="s">
        <v>650</v>
      </c>
      <c r="O394" s="1">
        <v>235.63</v>
      </c>
      <c r="P394" s="1">
        <v>1</v>
      </c>
      <c r="Q394" s="1">
        <f t="shared" si="82"/>
        <v>235.63</v>
      </c>
      <c r="R394" s="1" t="s">
        <v>56</v>
      </c>
      <c r="S394" s="1">
        <f t="shared" si="83"/>
        <v>0</v>
      </c>
      <c r="T394" s="1">
        <f t="shared" si="84"/>
        <v>235.63</v>
      </c>
      <c r="U394" s="1">
        <v>6</v>
      </c>
      <c r="V394" s="1">
        <f t="shared" si="85"/>
        <v>270.63</v>
      </c>
      <c r="W394" s="1">
        <v>35</v>
      </c>
      <c r="X394" s="2">
        <v>45272</v>
      </c>
      <c r="Y394" s="1" t="s">
        <v>1800</v>
      </c>
      <c r="Z394" s="1">
        <f t="shared" si="86"/>
        <v>270.63</v>
      </c>
      <c r="AA394" s="1">
        <f t="shared" si="87"/>
        <v>3</v>
      </c>
      <c r="AB394" s="1" t="str">
        <f t="shared" si="88"/>
        <v>BeforeTime</v>
      </c>
      <c r="AC394" s="1">
        <f t="shared" si="89"/>
        <v>235.63</v>
      </c>
      <c r="AD394" s="7">
        <f t="shared" si="90"/>
        <v>0</v>
      </c>
      <c r="AE394" s="1">
        <f t="shared" si="91"/>
        <v>0</v>
      </c>
      <c r="AF394" s="1">
        <f t="shared" si="92"/>
        <v>0</v>
      </c>
    </row>
    <row r="395" spans="1:32" ht="14.25" customHeight="1" x14ac:dyDescent="0.3">
      <c r="A395" s="1" t="s">
        <v>80</v>
      </c>
      <c r="B395" s="1" t="s">
        <v>81</v>
      </c>
      <c r="C395" s="1" t="s">
        <v>82</v>
      </c>
      <c r="D395" s="1" t="str">
        <f t="shared" si="80"/>
        <v>David Delacruz</v>
      </c>
      <c r="E395" s="1">
        <v>26</v>
      </c>
      <c r="F395" s="1" t="s">
        <v>34</v>
      </c>
      <c r="G395" s="1" t="s">
        <v>83</v>
      </c>
      <c r="H395" s="1" t="s">
        <v>84</v>
      </c>
      <c r="I395" s="1" t="s">
        <v>85</v>
      </c>
      <c r="J395" s="1" t="s">
        <v>1832</v>
      </c>
      <c r="K395" s="2">
        <v>45449</v>
      </c>
      <c r="L395" s="2" t="str">
        <f t="shared" si="81"/>
        <v>June</v>
      </c>
      <c r="M395" s="1" t="s">
        <v>1833</v>
      </c>
      <c r="N395" s="1" t="s">
        <v>650</v>
      </c>
      <c r="O395" s="1">
        <v>235.63</v>
      </c>
      <c r="P395" s="1">
        <v>1</v>
      </c>
      <c r="Q395" s="1">
        <f t="shared" si="82"/>
        <v>235.63</v>
      </c>
      <c r="R395" s="1" t="s">
        <v>51</v>
      </c>
      <c r="S395" s="1">
        <f t="shared" si="83"/>
        <v>35.344499999999996</v>
      </c>
      <c r="T395" s="1">
        <f t="shared" si="84"/>
        <v>200.28550000000001</v>
      </c>
      <c r="U395" s="1">
        <v>3</v>
      </c>
      <c r="V395" s="1">
        <f t="shared" si="85"/>
        <v>255.28550000000001</v>
      </c>
      <c r="W395" s="1">
        <v>55</v>
      </c>
      <c r="X395" s="2">
        <v>45455</v>
      </c>
      <c r="Y395" s="1" t="s">
        <v>1834</v>
      </c>
      <c r="Z395" s="1">
        <f t="shared" si="86"/>
        <v>290.63</v>
      </c>
      <c r="AA395" s="1">
        <f t="shared" si="87"/>
        <v>6</v>
      </c>
      <c r="AB395" s="1" t="str">
        <f t="shared" si="88"/>
        <v>Late</v>
      </c>
      <c r="AC395" s="1">
        <f t="shared" si="89"/>
        <v>235.63</v>
      </c>
      <c r="AD395" s="7">
        <f t="shared" si="90"/>
        <v>0.15</v>
      </c>
      <c r="AE395" s="1">
        <f t="shared" si="91"/>
        <v>35.344499999999996</v>
      </c>
      <c r="AF395" s="1">
        <f t="shared" si="92"/>
        <v>90.344499999999996</v>
      </c>
    </row>
    <row r="396" spans="1:32" ht="14.25" customHeight="1" x14ac:dyDescent="0.3">
      <c r="A396" s="1" t="s">
        <v>672</v>
      </c>
      <c r="B396" s="1" t="s">
        <v>673</v>
      </c>
      <c r="C396" s="1" t="s">
        <v>674</v>
      </c>
      <c r="D396" s="1" t="str">
        <f t="shared" si="80"/>
        <v>Troy Gomez</v>
      </c>
      <c r="E396" s="1">
        <v>68</v>
      </c>
      <c r="F396" s="1" t="s">
        <v>22</v>
      </c>
      <c r="G396" s="1" t="s">
        <v>213</v>
      </c>
      <c r="H396" s="1" t="s">
        <v>675</v>
      </c>
      <c r="I396" s="1" t="s">
        <v>676</v>
      </c>
      <c r="J396" s="1" t="s">
        <v>1604</v>
      </c>
      <c r="K396" s="2">
        <v>45007</v>
      </c>
      <c r="L396" s="2" t="str">
        <f t="shared" si="81"/>
        <v>March</v>
      </c>
      <c r="M396" s="1" t="s">
        <v>1605</v>
      </c>
      <c r="N396" s="1" t="s">
        <v>411</v>
      </c>
      <c r="O396" s="1">
        <v>44.5</v>
      </c>
      <c r="P396" s="1">
        <v>5</v>
      </c>
      <c r="Q396" s="1">
        <f t="shared" si="82"/>
        <v>222.5</v>
      </c>
      <c r="R396" s="1" t="s">
        <v>89</v>
      </c>
      <c r="S396" s="1">
        <f t="shared" si="83"/>
        <v>22.25</v>
      </c>
      <c r="T396" s="1">
        <f t="shared" si="84"/>
        <v>200.25</v>
      </c>
      <c r="U396" s="1">
        <v>4</v>
      </c>
      <c r="V396" s="1">
        <f t="shared" si="85"/>
        <v>255.25</v>
      </c>
      <c r="W396" s="1">
        <v>55</v>
      </c>
      <c r="X396" s="2">
        <v>45012</v>
      </c>
      <c r="Y396" s="1" t="s">
        <v>1606</v>
      </c>
      <c r="Z396" s="1">
        <f t="shared" si="86"/>
        <v>277.5</v>
      </c>
      <c r="AA396" s="1">
        <f t="shared" si="87"/>
        <v>5</v>
      </c>
      <c r="AB396" s="1" t="str">
        <f t="shared" si="88"/>
        <v>Late</v>
      </c>
      <c r="AC396" s="1">
        <f t="shared" si="89"/>
        <v>222.5</v>
      </c>
      <c r="AD396" s="7">
        <f t="shared" si="90"/>
        <v>0.1</v>
      </c>
      <c r="AE396" s="1">
        <f t="shared" si="91"/>
        <v>22.25</v>
      </c>
      <c r="AF396" s="1">
        <f t="shared" si="92"/>
        <v>77.25</v>
      </c>
    </row>
    <row r="397" spans="1:32" ht="14.25" customHeight="1" x14ac:dyDescent="0.3">
      <c r="A397" s="1" t="s">
        <v>724</v>
      </c>
      <c r="B397" s="1" t="s">
        <v>725</v>
      </c>
      <c r="C397" s="1" t="s">
        <v>726</v>
      </c>
      <c r="D397" s="1" t="str">
        <f t="shared" si="80"/>
        <v>Melissa Levy</v>
      </c>
      <c r="E397" s="1">
        <v>30</v>
      </c>
      <c r="F397" s="1" t="s">
        <v>22</v>
      </c>
      <c r="G397" s="1" t="s">
        <v>152</v>
      </c>
      <c r="H397" s="1" t="s">
        <v>727</v>
      </c>
      <c r="I397" s="1" t="s">
        <v>728</v>
      </c>
      <c r="J397" s="1" t="s">
        <v>729</v>
      </c>
      <c r="K397" s="2">
        <v>45406</v>
      </c>
      <c r="L397" s="2" t="str">
        <f t="shared" si="81"/>
        <v>April</v>
      </c>
      <c r="M397" s="1" t="s">
        <v>730</v>
      </c>
      <c r="N397" s="1" t="s">
        <v>731</v>
      </c>
      <c r="O397" s="1">
        <v>110.95</v>
      </c>
      <c r="P397" s="1">
        <v>2</v>
      </c>
      <c r="Q397" s="1">
        <f t="shared" si="82"/>
        <v>221.9</v>
      </c>
      <c r="R397" s="1" t="s">
        <v>29</v>
      </c>
      <c r="S397" s="1">
        <f t="shared" si="83"/>
        <v>17.752000000000002</v>
      </c>
      <c r="T397" s="1">
        <f t="shared" si="84"/>
        <v>204.148</v>
      </c>
      <c r="U397" s="1">
        <v>4</v>
      </c>
      <c r="V397" s="1">
        <f t="shared" si="85"/>
        <v>272.14800000000002</v>
      </c>
      <c r="W397" s="1">
        <v>68</v>
      </c>
      <c r="X397" s="2">
        <v>45408</v>
      </c>
      <c r="Y397" s="1" t="s">
        <v>732</v>
      </c>
      <c r="Z397" s="1">
        <f t="shared" si="86"/>
        <v>289.89999999999998</v>
      </c>
      <c r="AA397" s="1">
        <f t="shared" si="87"/>
        <v>2</v>
      </c>
      <c r="AB397" s="1" t="str">
        <f t="shared" si="88"/>
        <v>BeforeTime</v>
      </c>
      <c r="AC397" s="1">
        <f t="shared" si="89"/>
        <v>221.9</v>
      </c>
      <c r="AD397" s="7">
        <f t="shared" si="90"/>
        <v>0.08</v>
      </c>
      <c r="AE397" s="1">
        <f t="shared" si="91"/>
        <v>17.752000000000002</v>
      </c>
      <c r="AF397" s="1">
        <f t="shared" si="92"/>
        <v>85.75200000000001</v>
      </c>
    </row>
    <row r="398" spans="1:32" ht="14.25" customHeight="1" x14ac:dyDescent="0.3">
      <c r="A398" s="1" t="s">
        <v>698</v>
      </c>
      <c r="B398" s="1" t="s">
        <v>699</v>
      </c>
      <c r="C398" s="1" t="s">
        <v>700</v>
      </c>
      <c r="D398" s="1" t="str">
        <f t="shared" si="80"/>
        <v>Gregory Lee</v>
      </c>
      <c r="E398" s="1">
        <v>26</v>
      </c>
      <c r="F398" s="1" t="s">
        <v>45</v>
      </c>
      <c r="G398" s="1" t="s">
        <v>69</v>
      </c>
      <c r="H398" s="1" t="s">
        <v>701</v>
      </c>
      <c r="I398" s="1" t="s">
        <v>702</v>
      </c>
      <c r="J398" s="1" t="s">
        <v>1294</v>
      </c>
      <c r="K398" s="2">
        <v>45389</v>
      </c>
      <c r="L398" s="2" t="str">
        <f t="shared" si="81"/>
        <v>April</v>
      </c>
      <c r="M398" s="1" t="s">
        <v>1295</v>
      </c>
      <c r="N398" s="1" t="s">
        <v>731</v>
      </c>
      <c r="O398" s="1">
        <v>110.95</v>
      </c>
      <c r="P398" s="1">
        <v>2</v>
      </c>
      <c r="Q398" s="1">
        <f t="shared" si="82"/>
        <v>221.9</v>
      </c>
      <c r="R398" s="1" t="s">
        <v>78</v>
      </c>
      <c r="S398" s="1">
        <f t="shared" si="83"/>
        <v>44.38</v>
      </c>
      <c r="T398" s="1">
        <f t="shared" si="84"/>
        <v>177.52</v>
      </c>
      <c r="U398" s="1">
        <v>3</v>
      </c>
      <c r="V398" s="1">
        <f t="shared" si="85"/>
        <v>213.52</v>
      </c>
      <c r="W398" s="1">
        <v>36</v>
      </c>
      <c r="X398" s="2">
        <v>45394</v>
      </c>
      <c r="Y398" s="1" t="s">
        <v>1296</v>
      </c>
      <c r="Z398" s="1">
        <f t="shared" si="86"/>
        <v>257.89999999999998</v>
      </c>
      <c r="AA398" s="1">
        <f t="shared" si="87"/>
        <v>5</v>
      </c>
      <c r="AB398" s="1" t="str">
        <f t="shared" si="88"/>
        <v>Late</v>
      </c>
      <c r="AC398" s="1">
        <f t="shared" si="89"/>
        <v>221.9</v>
      </c>
      <c r="AD398" s="7">
        <f t="shared" si="90"/>
        <v>0.2</v>
      </c>
      <c r="AE398" s="1">
        <f t="shared" si="91"/>
        <v>44.38</v>
      </c>
      <c r="AF398" s="1">
        <f t="shared" si="92"/>
        <v>80.38</v>
      </c>
    </row>
    <row r="399" spans="1:32" ht="14.25" customHeight="1" x14ac:dyDescent="0.3">
      <c r="A399" s="1" t="s">
        <v>769</v>
      </c>
      <c r="B399" s="1" t="s">
        <v>770</v>
      </c>
      <c r="C399" s="1" t="s">
        <v>771</v>
      </c>
      <c r="D399" s="1" t="str">
        <f t="shared" si="80"/>
        <v>Lindsey Byrd</v>
      </c>
      <c r="E399" s="1">
        <v>32</v>
      </c>
      <c r="F399" s="1" t="s">
        <v>22</v>
      </c>
      <c r="G399" s="1" t="s">
        <v>152</v>
      </c>
      <c r="H399" s="1" t="s">
        <v>772</v>
      </c>
      <c r="I399" s="1" t="s">
        <v>773</v>
      </c>
      <c r="J399" s="1" t="s">
        <v>1113</v>
      </c>
      <c r="K399" s="2">
        <v>45588</v>
      </c>
      <c r="L399" s="2" t="str">
        <f t="shared" si="81"/>
        <v>October</v>
      </c>
      <c r="M399" s="1" t="s">
        <v>1114</v>
      </c>
      <c r="N399" s="1" t="s">
        <v>934</v>
      </c>
      <c r="O399" s="1">
        <v>107.47</v>
      </c>
      <c r="P399" s="1">
        <v>2</v>
      </c>
      <c r="Q399" s="1">
        <f t="shared" si="82"/>
        <v>214.94</v>
      </c>
      <c r="R399" s="1" t="s">
        <v>51</v>
      </c>
      <c r="S399" s="1">
        <f t="shared" si="83"/>
        <v>32.241</v>
      </c>
      <c r="T399" s="1">
        <f t="shared" si="84"/>
        <v>182.69900000000001</v>
      </c>
      <c r="U399" s="1">
        <v>5</v>
      </c>
      <c r="V399" s="1">
        <f t="shared" si="85"/>
        <v>237.69900000000001</v>
      </c>
      <c r="W399" s="1">
        <v>55</v>
      </c>
      <c r="X399" s="2">
        <v>45592</v>
      </c>
      <c r="Y399" s="1" t="s">
        <v>1115</v>
      </c>
      <c r="Z399" s="1">
        <f t="shared" si="86"/>
        <v>269.94</v>
      </c>
      <c r="AA399" s="1">
        <f t="shared" si="87"/>
        <v>4</v>
      </c>
      <c r="AB399" s="1" t="str">
        <f t="shared" si="88"/>
        <v>BeforeTime</v>
      </c>
      <c r="AC399" s="1">
        <f t="shared" si="89"/>
        <v>214.94</v>
      </c>
      <c r="AD399" s="7">
        <f t="shared" si="90"/>
        <v>0.15</v>
      </c>
      <c r="AE399" s="1">
        <f t="shared" si="91"/>
        <v>32.241</v>
      </c>
      <c r="AF399" s="1">
        <f t="shared" si="92"/>
        <v>87.241</v>
      </c>
    </row>
    <row r="400" spans="1:32" ht="14.25" customHeight="1" x14ac:dyDescent="0.3">
      <c r="A400" s="1" t="s">
        <v>168</v>
      </c>
      <c r="B400" s="1" t="s">
        <v>169</v>
      </c>
      <c r="C400" s="1" t="s">
        <v>170</v>
      </c>
      <c r="D400" s="1" t="str">
        <f t="shared" si="80"/>
        <v>Gina Moreno</v>
      </c>
      <c r="E400" s="1">
        <v>36</v>
      </c>
      <c r="F400" s="1" t="s">
        <v>45</v>
      </c>
      <c r="G400" s="1" t="s">
        <v>133</v>
      </c>
      <c r="H400" s="1" t="s">
        <v>171</v>
      </c>
      <c r="I400" s="1" t="s">
        <v>172</v>
      </c>
      <c r="J400" s="1" t="s">
        <v>173</v>
      </c>
      <c r="K400" s="2">
        <v>45542</v>
      </c>
      <c r="L400" s="2" t="str">
        <f t="shared" si="81"/>
        <v>September</v>
      </c>
      <c r="M400" s="1" t="s">
        <v>174</v>
      </c>
      <c r="N400" s="1" t="s">
        <v>175</v>
      </c>
      <c r="O400" s="1">
        <v>104.18</v>
      </c>
      <c r="P400" s="1">
        <v>2</v>
      </c>
      <c r="Q400" s="1">
        <f t="shared" si="82"/>
        <v>208.36</v>
      </c>
      <c r="R400" s="1" t="s">
        <v>56</v>
      </c>
      <c r="S400" s="1">
        <f t="shared" si="83"/>
        <v>0</v>
      </c>
      <c r="T400" s="1">
        <f t="shared" si="84"/>
        <v>208.36</v>
      </c>
      <c r="U400" s="1">
        <v>4</v>
      </c>
      <c r="V400" s="1">
        <f t="shared" si="85"/>
        <v>252.36</v>
      </c>
      <c r="W400" s="1">
        <v>44</v>
      </c>
      <c r="X400" s="2">
        <v>45545</v>
      </c>
      <c r="Y400" s="1" t="s">
        <v>176</v>
      </c>
      <c r="Z400" s="1">
        <f t="shared" si="86"/>
        <v>252.36</v>
      </c>
      <c r="AA400" s="1">
        <f t="shared" si="87"/>
        <v>3</v>
      </c>
      <c r="AB400" s="1" t="str">
        <f t="shared" si="88"/>
        <v>BeforeTime</v>
      </c>
      <c r="AC400" s="1">
        <f t="shared" si="89"/>
        <v>208.36</v>
      </c>
      <c r="AD400" s="7">
        <f t="shared" si="90"/>
        <v>0</v>
      </c>
      <c r="AE400" s="1">
        <f t="shared" si="91"/>
        <v>0</v>
      </c>
      <c r="AF400" s="1">
        <f t="shared" si="92"/>
        <v>0</v>
      </c>
    </row>
    <row r="401" spans="1:32" ht="14.25" customHeight="1" x14ac:dyDescent="0.3">
      <c r="A401" s="1" t="s">
        <v>717</v>
      </c>
      <c r="B401" s="1" t="s">
        <v>718</v>
      </c>
      <c r="C401" s="1" t="s">
        <v>160</v>
      </c>
      <c r="D401" s="1" t="str">
        <f t="shared" si="80"/>
        <v>Lisa Miller</v>
      </c>
      <c r="E401" s="1">
        <v>70</v>
      </c>
      <c r="F401" s="1" t="s">
        <v>34</v>
      </c>
      <c r="G401" s="1" t="s">
        <v>83</v>
      </c>
      <c r="H401" s="1" t="s">
        <v>719</v>
      </c>
      <c r="I401" s="1" t="s">
        <v>720</v>
      </c>
      <c r="J401" s="1" t="s">
        <v>721</v>
      </c>
      <c r="K401" s="2">
        <v>45005</v>
      </c>
      <c r="L401" s="2" t="str">
        <f t="shared" si="81"/>
        <v>March</v>
      </c>
      <c r="M401" s="1" t="s">
        <v>722</v>
      </c>
      <c r="N401" s="1" t="s">
        <v>175</v>
      </c>
      <c r="O401" s="1">
        <v>104.18</v>
      </c>
      <c r="P401" s="1">
        <v>2</v>
      </c>
      <c r="Q401" s="1">
        <f t="shared" si="82"/>
        <v>208.36</v>
      </c>
      <c r="R401" s="1" t="s">
        <v>29</v>
      </c>
      <c r="S401" s="1">
        <f t="shared" si="83"/>
        <v>16.668800000000001</v>
      </c>
      <c r="T401" s="1">
        <f t="shared" si="84"/>
        <v>191.69120000000001</v>
      </c>
      <c r="U401" s="1">
        <v>2</v>
      </c>
      <c r="V401" s="1">
        <f t="shared" si="85"/>
        <v>231.69120000000001</v>
      </c>
      <c r="W401" s="1">
        <v>40</v>
      </c>
      <c r="X401" s="2">
        <v>45010</v>
      </c>
      <c r="Y401" s="1" t="s">
        <v>723</v>
      </c>
      <c r="Z401" s="1">
        <f t="shared" si="86"/>
        <v>248.36</v>
      </c>
      <c r="AA401" s="1">
        <f t="shared" si="87"/>
        <v>5</v>
      </c>
      <c r="AB401" s="1" t="str">
        <f t="shared" si="88"/>
        <v>Late</v>
      </c>
      <c r="AC401" s="1">
        <f t="shared" si="89"/>
        <v>208.36</v>
      </c>
      <c r="AD401" s="7">
        <f t="shared" si="90"/>
        <v>0.08</v>
      </c>
      <c r="AE401" s="1">
        <f t="shared" si="91"/>
        <v>16.668800000000001</v>
      </c>
      <c r="AF401" s="1">
        <f t="shared" si="92"/>
        <v>56.668800000000005</v>
      </c>
    </row>
    <row r="402" spans="1:32" ht="14.25" customHeight="1" x14ac:dyDescent="0.3">
      <c r="A402" s="1" t="s">
        <v>140</v>
      </c>
      <c r="B402" s="1" t="s">
        <v>141</v>
      </c>
      <c r="C402" s="1" t="s">
        <v>142</v>
      </c>
      <c r="D402" s="1" t="str">
        <f t="shared" si="80"/>
        <v>Amy Reid</v>
      </c>
      <c r="E402" s="1">
        <v>44</v>
      </c>
      <c r="F402" s="1" t="s">
        <v>34</v>
      </c>
      <c r="G402" s="1" t="s">
        <v>83</v>
      </c>
      <c r="H402" s="1" t="s">
        <v>143</v>
      </c>
      <c r="I402" s="1" t="s">
        <v>144</v>
      </c>
      <c r="J402" s="1" t="s">
        <v>942</v>
      </c>
      <c r="K402" s="2">
        <v>45513</v>
      </c>
      <c r="L402" s="2" t="str">
        <f t="shared" si="81"/>
        <v>August</v>
      </c>
      <c r="M402" s="1" t="s">
        <v>943</v>
      </c>
      <c r="N402" s="1" t="s">
        <v>175</v>
      </c>
      <c r="O402" s="1">
        <v>104.18</v>
      </c>
      <c r="P402" s="1">
        <v>2</v>
      </c>
      <c r="Q402" s="1">
        <f t="shared" si="82"/>
        <v>208.36</v>
      </c>
      <c r="R402" s="1" t="s">
        <v>56</v>
      </c>
      <c r="S402" s="1">
        <f t="shared" si="83"/>
        <v>0</v>
      </c>
      <c r="T402" s="1">
        <f t="shared" si="84"/>
        <v>208.36</v>
      </c>
      <c r="U402" s="1">
        <v>2</v>
      </c>
      <c r="V402" s="1">
        <f t="shared" si="85"/>
        <v>265.36</v>
      </c>
      <c r="W402" s="1">
        <v>57</v>
      </c>
      <c r="X402" s="2">
        <v>45515</v>
      </c>
      <c r="Y402" s="1" t="s">
        <v>944</v>
      </c>
      <c r="Z402" s="1">
        <f t="shared" si="86"/>
        <v>265.36</v>
      </c>
      <c r="AA402" s="1">
        <f t="shared" si="87"/>
        <v>2</v>
      </c>
      <c r="AB402" s="1" t="str">
        <f t="shared" si="88"/>
        <v>Intime</v>
      </c>
      <c r="AC402" s="1">
        <f t="shared" si="89"/>
        <v>208.36</v>
      </c>
      <c r="AD402" s="7">
        <f t="shared" si="90"/>
        <v>0</v>
      </c>
      <c r="AE402" s="1">
        <f t="shared" si="91"/>
        <v>0</v>
      </c>
      <c r="AF402" s="1">
        <f t="shared" si="92"/>
        <v>0</v>
      </c>
    </row>
    <row r="403" spans="1:32" ht="14.25" customHeight="1" x14ac:dyDescent="0.3">
      <c r="A403" s="1" t="s">
        <v>1203</v>
      </c>
      <c r="B403" s="1" t="s">
        <v>1204</v>
      </c>
      <c r="C403" s="1" t="s">
        <v>1205</v>
      </c>
      <c r="D403" s="1" t="str">
        <f t="shared" si="80"/>
        <v>Brendan Kelly</v>
      </c>
      <c r="E403" s="1">
        <v>50</v>
      </c>
      <c r="F403" s="1" t="s">
        <v>45</v>
      </c>
      <c r="G403" s="1" t="s">
        <v>161</v>
      </c>
      <c r="H403" s="1" t="s">
        <v>1206</v>
      </c>
      <c r="I403" s="1" t="s">
        <v>1207</v>
      </c>
      <c r="J403" s="1" t="s">
        <v>1476</v>
      </c>
      <c r="K403" s="2">
        <v>45656</v>
      </c>
      <c r="L403" s="2" t="str">
        <f t="shared" si="81"/>
        <v>December</v>
      </c>
      <c r="M403" s="1" t="s">
        <v>1477</v>
      </c>
      <c r="N403" s="1" t="s">
        <v>175</v>
      </c>
      <c r="O403" s="1">
        <v>104.18</v>
      </c>
      <c r="P403" s="1">
        <v>2</v>
      </c>
      <c r="Q403" s="1">
        <f t="shared" si="82"/>
        <v>208.36</v>
      </c>
      <c r="R403" s="1" t="s">
        <v>51</v>
      </c>
      <c r="S403" s="1">
        <f t="shared" si="83"/>
        <v>31.254000000000001</v>
      </c>
      <c r="T403" s="1">
        <f t="shared" si="84"/>
        <v>177.10600000000002</v>
      </c>
      <c r="U403" s="1">
        <v>5</v>
      </c>
      <c r="V403" s="1">
        <f t="shared" si="85"/>
        <v>242.10600000000002</v>
      </c>
      <c r="W403" s="1">
        <v>65</v>
      </c>
      <c r="X403" s="2">
        <v>45657</v>
      </c>
      <c r="Y403" s="1" t="s">
        <v>1478</v>
      </c>
      <c r="Z403" s="1">
        <f t="shared" si="86"/>
        <v>273.36</v>
      </c>
      <c r="AA403" s="1">
        <f t="shared" si="87"/>
        <v>1</v>
      </c>
      <c r="AB403" s="1" t="str">
        <f t="shared" si="88"/>
        <v>BeforeTime</v>
      </c>
      <c r="AC403" s="1">
        <f t="shared" si="89"/>
        <v>208.36</v>
      </c>
      <c r="AD403" s="7">
        <f t="shared" si="90"/>
        <v>0.15</v>
      </c>
      <c r="AE403" s="1">
        <f t="shared" si="91"/>
        <v>31.254000000000001</v>
      </c>
      <c r="AF403" s="1">
        <f t="shared" si="92"/>
        <v>96.254000000000005</v>
      </c>
    </row>
    <row r="404" spans="1:32" ht="14.25" customHeight="1" x14ac:dyDescent="0.3">
      <c r="A404" s="1" t="s">
        <v>1231</v>
      </c>
      <c r="B404" s="1" t="s">
        <v>1232</v>
      </c>
      <c r="C404" s="1" t="s">
        <v>1233</v>
      </c>
      <c r="D404" s="1" t="str">
        <f t="shared" si="80"/>
        <v>Hannah Gutierrez</v>
      </c>
      <c r="E404" s="1">
        <v>55</v>
      </c>
      <c r="F404" s="1" t="s">
        <v>34</v>
      </c>
      <c r="G404" s="1" t="s">
        <v>152</v>
      </c>
      <c r="H404" s="1" t="s">
        <v>1234</v>
      </c>
      <c r="I404" s="1" t="s">
        <v>1235</v>
      </c>
      <c r="J404" s="1" t="s">
        <v>1494</v>
      </c>
      <c r="K404" s="2">
        <v>45186</v>
      </c>
      <c r="L404" s="2" t="str">
        <f t="shared" si="81"/>
        <v>September</v>
      </c>
      <c r="M404" s="1" t="s">
        <v>1495</v>
      </c>
      <c r="N404" s="1" t="s">
        <v>175</v>
      </c>
      <c r="O404" s="1">
        <v>104.18</v>
      </c>
      <c r="P404" s="1">
        <v>2</v>
      </c>
      <c r="Q404" s="1">
        <f t="shared" si="82"/>
        <v>208.36</v>
      </c>
      <c r="R404" s="1" t="s">
        <v>29</v>
      </c>
      <c r="S404" s="1">
        <f t="shared" si="83"/>
        <v>16.668800000000001</v>
      </c>
      <c r="T404" s="1">
        <f t="shared" si="84"/>
        <v>191.69120000000001</v>
      </c>
      <c r="U404" s="1">
        <v>4</v>
      </c>
      <c r="V404" s="1">
        <f t="shared" si="85"/>
        <v>234.69120000000001</v>
      </c>
      <c r="W404" s="1">
        <v>43</v>
      </c>
      <c r="X404" s="2">
        <v>45190</v>
      </c>
      <c r="Y404" s="1" t="s">
        <v>1496</v>
      </c>
      <c r="Z404" s="1">
        <f t="shared" si="86"/>
        <v>251.36</v>
      </c>
      <c r="AA404" s="1">
        <f t="shared" si="87"/>
        <v>4</v>
      </c>
      <c r="AB404" s="1" t="str">
        <f t="shared" si="88"/>
        <v>Intime</v>
      </c>
      <c r="AC404" s="1">
        <f t="shared" si="89"/>
        <v>208.36</v>
      </c>
      <c r="AD404" s="7">
        <f t="shared" si="90"/>
        <v>0.08</v>
      </c>
      <c r="AE404" s="1">
        <f t="shared" si="91"/>
        <v>16.668800000000001</v>
      </c>
      <c r="AF404" s="1">
        <f t="shared" si="92"/>
        <v>59.668800000000005</v>
      </c>
    </row>
    <row r="405" spans="1:32" ht="14.25" customHeight="1" x14ac:dyDescent="0.3">
      <c r="A405" s="1" t="s">
        <v>42</v>
      </c>
      <c r="B405" s="1" t="s">
        <v>43</v>
      </c>
      <c r="C405" s="1" t="s">
        <v>44</v>
      </c>
      <c r="D405" s="1" t="str">
        <f t="shared" si="80"/>
        <v>Karl Gallagher</v>
      </c>
      <c r="E405" s="1">
        <v>60</v>
      </c>
      <c r="F405" s="1" t="s">
        <v>45</v>
      </c>
      <c r="G405" s="1" t="s">
        <v>23</v>
      </c>
      <c r="H405" s="1" t="s">
        <v>46</v>
      </c>
      <c r="I405" s="1" t="s">
        <v>47</v>
      </c>
      <c r="J405" s="1" t="s">
        <v>48</v>
      </c>
      <c r="K405" s="2">
        <v>45342</v>
      </c>
      <c r="L405" s="2" t="str">
        <f t="shared" si="81"/>
        <v>February</v>
      </c>
      <c r="M405" s="1" t="s">
        <v>49</v>
      </c>
      <c r="N405" s="1" t="s">
        <v>50</v>
      </c>
      <c r="O405" s="1">
        <v>202.54</v>
      </c>
      <c r="P405" s="1">
        <v>1</v>
      </c>
      <c r="Q405" s="1">
        <f t="shared" si="82"/>
        <v>202.54</v>
      </c>
      <c r="R405" s="1" t="s">
        <v>51</v>
      </c>
      <c r="S405" s="1">
        <f t="shared" si="83"/>
        <v>30.380999999999997</v>
      </c>
      <c r="T405" s="1">
        <f t="shared" si="84"/>
        <v>172.15899999999999</v>
      </c>
      <c r="U405" s="1">
        <v>3</v>
      </c>
      <c r="V405" s="1">
        <f t="shared" si="85"/>
        <v>219.15899999999999</v>
      </c>
      <c r="W405" s="1">
        <v>47</v>
      </c>
      <c r="X405" s="2">
        <v>45344</v>
      </c>
      <c r="Y405" s="1" t="s">
        <v>52</v>
      </c>
      <c r="Z405" s="1">
        <f t="shared" si="86"/>
        <v>249.54</v>
      </c>
      <c r="AA405" s="1">
        <f t="shared" si="87"/>
        <v>2</v>
      </c>
      <c r="AB405" s="1" t="str">
        <f t="shared" si="88"/>
        <v>BeforeTime</v>
      </c>
      <c r="AC405" s="1">
        <f t="shared" si="89"/>
        <v>202.54</v>
      </c>
      <c r="AD405" s="7">
        <f t="shared" si="90"/>
        <v>0.15</v>
      </c>
      <c r="AE405" s="1">
        <f t="shared" si="91"/>
        <v>30.380999999999997</v>
      </c>
      <c r="AF405" s="1">
        <f t="shared" si="92"/>
        <v>77.381</v>
      </c>
    </row>
    <row r="406" spans="1:32" ht="14.25" customHeight="1" x14ac:dyDescent="0.3">
      <c r="A406" s="1" t="s">
        <v>483</v>
      </c>
      <c r="B406" s="1" t="s">
        <v>179</v>
      </c>
      <c r="C406" s="1" t="s">
        <v>320</v>
      </c>
      <c r="D406" s="1" t="str">
        <f t="shared" si="80"/>
        <v>Mitchell Parker</v>
      </c>
      <c r="E406" s="1">
        <v>39</v>
      </c>
      <c r="F406" s="1" t="s">
        <v>45</v>
      </c>
      <c r="G406" s="1" t="s">
        <v>35</v>
      </c>
      <c r="H406" s="1" t="s">
        <v>484</v>
      </c>
      <c r="I406" s="1" t="s">
        <v>485</v>
      </c>
      <c r="J406" s="1" t="s">
        <v>875</v>
      </c>
      <c r="K406" s="2">
        <v>45609</v>
      </c>
      <c r="L406" s="2" t="str">
        <f t="shared" si="81"/>
        <v>November</v>
      </c>
      <c r="M406" s="1" t="s">
        <v>876</v>
      </c>
      <c r="N406" s="1" t="s">
        <v>50</v>
      </c>
      <c r="O406" s="1">
        <v>202.54</v>
      </c>
      <c r="P406" s="1">
        <v>1</v>
      </c>
      <c r="Q406" s="1">
        <f t="shared" si="82"/>
        <v>202.54</v>
      </c>
      <c r="R406" s="1" t="s">
        <v>29</v>
      </c>
      <c r="S406" s="1">
        <f t="shared" si="83"/>
        <v>16.203199999999999</v>
      </c>
      <c r="T406" s="1">
        <f t="shared" si="84"/>
        <v>186.33679999999998</v>
      </c>
      <c r="U406" s="1">
        <v>4</v>
      </c>
      <c r="V406" s="1">
        <f t="shared" si="85"/>
        <v>234.33679999999998</v>
      </c>
      <c r="W406" s="1">
        <v>48</v>
      </c>
      <c r="X406" s="2">
        <v>45611</v>
      </c>
      <c r="Y406" s="1" t="s">
        <v>877</v>
      </c>
      <c r="Z406" s="1">
        <f t="shared" si="86"/>
        <v>250.54</v>
      </c>
      <c r="AA406" s="1">
        <f t="shared" si="87"/>
        <v>2</v>
      </c>
      <c r="AB406" s="1" t="str">
        <f t="shared" si="88"/>
        <v>BeforeTime</v>
      </c>
      <c r="AC406" s="1">
        <f t="shared" si="89"/>
        <v>202.54</v>
      </c>
      <c r="AD406" s="7">
        <f t="shared" si="90"/>
        <v>0.08</v>
      </c>
      <c r="AE406" s="1">
        <f t="shared" si="91"/>
        <v>16.203199999999999</v>
      </c>
      <c r="AF406" s="1">
        <f t="shared" si="92"/>
        <v>64.203199999999995</v>
      </c>
    </row>
    <row r="407" spans="1:32" ht="14.25" customHeight="1" x14ac:dyDescent="0.3">
      <c r="A407" s="1" t="s">
        <v>177</v>
      </c>
      <c r="B407" s="1" t="s">
        <v>178</v>
      </c>
      <c r="C407" s="1" t="s">
        <v>179</v>
      </c>
      <c r="D407" s="1" t="str">
        <f t="shared" si="80"/>
        <v>Mallory Mitchell</v>
      </c>
      <c r="E407" s="1">
        <v>42</v>
      </c>
      <c r="F407" s="1" t="s">
        <v>34</v>
      </c>
      <c r="G407" s="1" t="s">
        <v>161</v>
      </c>
      <c r="H407" s="1" t="s">
        <v>180</v>
      </c>
      <c r="I407" s="1" t="s">
        <v>181</v>
      </c>
      <c r="J407" s="1" t="s">
        <v>182</v>
      </c>
      <c r="K407" s="2">
        <v>45665</v>
      </c>
      <c r="L407" s="2" t="str">
        <f t="shared" si="81"/>
        <v>January</v>
      </c>
      <c r="M407" s="1" t="s">
        <v>183</v>
      </c>
      <c r="N407" s="1" t="s">
        <v>107</v>
      </c>
      <c r="O407" s="1">
        <v>48.45</v>
      </c>
      <c r="P407" s="1">
        <v>4</v>
      </c>
      <c r="Q407" s="1">
        <f t="shared" si="82"/>
        <v>193.8</v>
      </c>
      <c r="R407" s="1" t="s">
        <v>89</v>
      </c>
      <c r="S407" s="1">
        <f t="shared" si="83"/>
        <v>19.380000000000003</v>
      </c>
      <c r="T407" s="1">
        <f t="shared" si="84"/>
        <v>174.42000000000002</v>
      </c>
      <c r="U407" s="1">
        <v>1</v>
      </c>
      <c r="V407" s="1">
        <f t="shared" si="85"/>
        <v>244.42000000000002</v>
      </c>
      <c r="W407" s="1">
        <v>70</v>
      </c>
      <c r="X407" s="2">
        <v>45670</v>
      </c>
      <c r="Y407" s="1" t="s">
        <v>184</v>
      </c>
      <c r="Z407" s="1">
        <f t="shared" si="86"/>
        <v>263.8</v>
      </c>
      <c r="AA407" s="1">
        <f t="shared" si="87"/>
        <v>5</v>
      </c>
      <c r="AB407" s="1" t="str">
        <f t="shared" si="88"/>
        <v>Late</v>
      </c>
      <c r="AC407" s="1">
        <f t="shared" si="89"/>
        <v>193.8</v>
      </c>
      <c r="AD407" s="7">
        <f t="shared" si="90"/>
        <v>0.1</v>
      </c>
      <c r="AE407" s="1">
        <f t="shared" si="91"/>
        <v>19.380000000000003</v>
      </c>
      <c r="AF407" s="1">
        <f t="shared" si="92"/>
        <v>89.38</v>
      </c>
    </row>
    <row r="408" spans="1:32" ht="14.25" customHeight="1" x14ac:dyDescent="0.3">
      <c r="A408" s="1" t="s">
        <v>130</v>
      </c>
      <c r="B408" s="1" t="s">
        <v>131</v>
      </c>
      <c r="C408" s="1" t="s">
        <v>132</v>
      </c>
      <c r="D408" s="1" t="str">
        <f t="shared" si="80"/>
        <v>Kara Brennan</v>
      </c>
      <c r="E408" s="1">
        <v>25</v>
      </c>
      <c r="F408" s="1" t="s">
        <v>45</v>
      </c>
      <c r="G408" s="1" t="s">
        <v>133</v>
      </c>
      <c r="H408" s="1" t="s">
        <v>134</v>
      </c>
      <c r="I408" s="1" t="s">
        <v>135</v>
      </c>
      <c r="J408" s="1" t="s">
        <v>136</v>
      </c>
      <c r="K408" s="2">
        <v>45267</v>
      </c>
      <c r="L408" s="2" t="str">
        <f t="shared" si="81"/>
        <v>December</v>
      </c>
      <c r="M408" s="1" t="s">
        <v>137</v>
      </c>
      <c r="N408" s="1" t="s">
        <v>138</v>
      </c>
      <c r="O408" s="1">
        <v>190.1</v>
      </c>
      <c r="P408" s="1">
        <v>1</v>
      </c>
      <c r="Q408" s="1">
        <f t="shared" si="82"/>
        <v>190.1</v>
      </c>
      <c r="R408" s="1" t="s">
        <v>56</v>
      </c>
      <c r="S408" s="1">
        <f t="shared" si="83"/>
        <v>0</v>
      </c>
      <c r="T408" s="1">
        <f t="shared" si="84"/>
        <v>190.1</v>
      </c>
      <c r="U408" s="1">
        <v>1</v>
      </c>
      <c r="V408" s="1">
        <f t="shared" si="85"/>
        <v>260.10000000000002</v>
      </c>
      <c r="W408" s="1">
        <v>70</v>
      </c>
      <c r="X408" s="2">
        <v>45270</v>
      </c>
      <c r="Y408" s="1" t="s">
        <v>139</v>
      </c>
      <c r="Z408" s="1">
        <f t="shared" si="86"/>
        <v>260.10000000000002</v>
      </c>
      <c r="AA408" s="1">
        <f t="shared" si="87"/>
        <v>3</v>
      </c>
      <c r="AB408" s="1" t="str">
        <f t="shared" si="88"/>
        <v>Late</v>
      </c>
      <c r="AC408" s="1">
        <f t="shared" si="89"/>
        <v>190.1</v>
      </c>
      <c r="AD408" s="7">
        <f t="shared" si="90"/>
        <v>0</v>
      </c>
      <c r="AE408" s="1">
        <f t="shared" si="91"/>
        <v>0</v>
      </c>
      <c r="AF408" s="1">
        <f t="shared" si="92"/>
        <v>0</v>
      </c>
    </row>
    <row r="409" spans="1:32" ht="14.25" customHeight="1" x14ac:dyDescent="0.3">
      <c r="A409" s="1" t="s">
        <v>367</v>
      </c>
      <c r="B409" s="1" t="s">
        <v>33</v>
      </c>
      <c r="C409" s="1" t="s">
        <v>368</v>
      </c>
      <c r="D409" s="1" t="str">
        <f t="shared" si="80"/>
        <v>Thomas Andersen</v>
      </c>
      <c r="E409" s="1">
        <v>50</v>
      </c>
      <c r="F409" s="1" t="s">
        <v>45</v>
      </c>
      <c r="G409" s="1" t="s">
        <v>133</v>
      </c>
      <c r="H409" s="1" t="s">
        <v>369</v>
      </c>
      <c r="I409" s="1" t="s">
        <v>370</v>
      </c>
      <c r="J409" s="1" t="s">
        <v>371</v>
      </c>
      <c r="K409" s="2">
        <v>44987</v>
      </c>
      <c r="L409" s="2" t="str">
        <f t="shared" si="81"/>
        <v>March</v>
      </c>
      <c r="M409" s="1" t="s">
        <v>372</v>
      </c>
      <c r="N409" s="1" t="s">
        <v>138</v>
      </c>
      <c r="O409" s="1">
        <v>190.1</v>
      </c>
      <c r="P409" s="1">
        <v>1</v>
      </c>
      <c r="Q409" s="1">
        <f t="shared" si="82"/>
        <v>190.1</v>
      </c>
      <c r="R409" s="1" t="s">
        <v>78</v>
      </c>
      <c r="S409" s="1">
        <f t="shared" si="83"/>
        <v>38.020000000000003</v>
      </c>
      <c r="T409" s="1">
        <f t="shared" si="84"/>
        <v>152.07999999999998</v>
      </c>
      <c r="U409" s="1">
        <v>4</v>
      </c>
      <c r="V409" s="1">
        <f t="shared" si="85"/>
        <v>215.07999999999998</v>
      </c>
      <c r="W409" s="1">
        <v>63</v>
      </c>
      <c r="X409" s="2">
        <v>44992</v>
      </c>
      <c r="Y409" s="1" t="s">
        <v>373</v>
      </c>
      <c r="Z409" s="1">
        <f t="shared" si="86"/>
        <v>253.1</v>
      </c>
      <c r="AA409" s="1">
        <f t="shared" si="87"/>
        <v>5</v>
      </c>
      <c r="AB409" s="1" t="str">
        <f t="shared" si="88"/>
        <v>Late</v>
      </c>
      <c r="AC409" s="1">
        <f t="shared" si="89"/>
        <v>190.1</v>
      </c>
      <c r="AD409" s="7">
        <f t="shared" si="90"/>
        <v>0.2</v>
      </c>
      <c r="AE409" s="1">
        <f t="shared" si="91"/>
        <v>38.020000000000003</v>
      </c>
      <c r="AF409" s="1">
        <f t="shared" si="92"/>
        <v>101.02000000000001</v>
      </c>
    </row>
    <row r="410" spans="1:32" ht="14.25" customHeight="1" x14ac:dyDescent="0.3">
      <c r="A410" s="1" t="s">
        <v>149</v>
      </c>
      <c r="B410" s="1" t="s">
        <v>150</v>
      </c>
      <c r="C410" s="1" t="s">
        <v>151</v>
      </c>
      <c r="D410" s="1" t="str">
        <f t="shared" si="80"/>
        <v>Joshua Campbell</v>
      </c>
      <c r="E410" s="1">
        <v>24</v>
      </c>
      <c r="F410" s="1" t="s">
        <v>22</v>
      </c>
      <c r="G410" s="1" t="s">
        <v>152</v>
      </c>
      <c r="H410" s="1" t="s">
        <v>153</v>
      </c>
      <c r="I410" s="1" t="s">
        <v>154</v>
      </c>
      <c r="J410" s="1" t="s">
        <v>1417</v>
      </c>
      <c r="K410" s="2">
        <v>45206</v>
      </c>
      <c r="L410" s="2" t="str">
        <f t="shared" si="81"/>
        <v>October</v>
      </c>
      <c r="M410" s="1" t="s">
        <v>1418</v>
      </c>
      <c r="N410" s="1" t="s">
        <v>138</v>
      </c>
      <c r="O410" s="1">
        <v>190.1</v>
      </c>
      <c r="P410" s="1">
        <v>1</v>
      </c>
      <c r="Q410" s="1">
        <f t="shared" si="82"/>
        <v>190.1</v>
      </c>
      <c r="R410" s="1" t="s">
        <v>78</v>
      </c>
      <c r="S410" s="1">
        <f t="shared" si="83"/>
        <v>38.020000000000003</v>
      </c>
      <c r="T410" s="1">
        <f t="shared" si="84"/>
        <v>152.07999999999998</v>
      </c>
      <c r="U410" s="1">
        <v>3</v>
      </c>
      <c r="V410" s="1">
        <f t="shared" si="85"/>
        <v>215.07999999999998</v>
      </c>
      <c r="W410" s="1">
        <v>63</v>
      </c>
      <c r="X410" s="2">
        <v>45207</v>
      </c>
      <c r="Y410" s="1" t="s">
        <v>1419</v>
      </c>
      <c r="Z410" s="1">
        <f t="shared" si="86"/>
        <v>253.1</v>
      </c>
      <c r="AA410" s="1">
        <f t="shared" si="87"/>
        <v>1</v>
      </c>
      <c r="AB410" s="1" t="str">
        <f t="shared" si="88"/>
        <v>BeforeTime</v>
      </c>
      <c r="AC410" s="1">
        <f t="shared" si="89"/>
        <v>190.1</v>
      </c>
      <c r="AD410" s="7">
        <f t="shared" si="90"/>
        <v>0.2</v>
      </c>
      <c r="AE410" s="1">
        <f t="shared" si="91"/>
        <v>38.020000000000003</v>
      </c>
      <c r="AF410" s="1">
        <f t="shared" si="92"/>
        <v>101.02000000000001</v>
      </c>
    </row>
    <row r="411" spans="1:32" ht="14.25" customHeight="1" x14ac:dyDescent="0.3">
      <c r="A411" s="1" t="s">
        <v>286</v>
      </c>
      <c r="B411" s="1" t="s">
        <v>287</v>
      </c>
      <c r="C411" s="1" t="s">
        <v>288</v>
      </c>
      <c r="D411" s="1" t="str">
        <f t="shared" si="80"/>
        <v>Heather Schneider</v>
      </c>
      <c r="E411" s="1">
        <v>48</v>
      </c>
      <c r="F411" s="1" t="s">
        <v>34</v>
      </c>
      <c r="G411" s="1" t="s">
        <v>83</v>
      </c>
      <c r="H411" s="1" t="s">
        <v>289</v>
      </c>
      <c r="I411" s="1" t="s">
        <v>290</v>
      </c>
      <c r="J411" s="1" t="s">
        <v>291</v>
      </c>
      <c r="K411" s="2">
        <v>45407</v>
      </c>
      <c r="L411" s="2" t="str">
        <f t="shared" si="81"/>
        <v>April</v>
      </c>
      <c r="M411" s="1" t="s">
        <v>292</v>
      </c>
      <c r="N411" s="1" t="s">
        <v>263</v>
      </c>
      <c r="O411" s="1">
        <v>62.42</v>
      </c>
      <c r="P411" s="1">
        <v>3</v>
      </c>
      <c r="Q411" s="1">
        <f t="shared" si="82"/>
        <v>187.26</v>
      </c>
      <c r="R411" s="1" t="s">
        <v>29</v>
      </c>
      <c r="S411" s="1">
        <f t="shared" si="83"/>
        <v>14.9808</v>
      </c>
      <c r="T411" s="1">
        <f t="shared" si="84"/>
        <v>172.2792</v>
      </c>
      <c r="U411" s="1">
        <v>4</v>
      </c>
      <c r="V411" s="1">
        <f t="shared" si="85"/>
        <v>208.2792</v>
      </c>
      <c r="W411" s="1">
        <v>36</v>
      </c>
      <c r="X411" s="2">
        <v>45414</v>
      </c>
      <c r="Y411" s="1" t="s">
        <v>293</v>
      </c>
      <c r="Z411" s="1">
        <f t="shared" si="86"/>
        <v>223.26</v>
      </c>
      <c r="AA411" s="1">
        <f t="shared" si="87"/>
        <v>7</v>
      </c>
      <c r="AB411" s="1" t="str">
        <f t="shared" si="88"/>
        <v>Late</v>
      </c>
      <c r="AC411" s="1">
        <f t="shared" si="89"/>
        <v>187.26</v>
      </c>
      <c r="AD411" s="7">
        <f t="shared" si="90"/>
        <v>0.08</v>
      </c>
      <c r="AE411" s="1">
        <f t="shared" si="91"/>
        <v>14.9808</v>
      </c>
      <c r="AF411" s="1">
        <f t="shared" si="92"/>
        <v>50.980800000000002</v>
      </c>
    </row>
    <row r="412" spans="1:32" ht="14.25" customHeight="1" x14ac:dyDescent="0.3">
      <c r="A412" s="1" t="s">
        <v>294</v>
      </c>
      <c r="B412" s="1" t="s">
        <v>295</v>
      </c>
      <c r="C412" s="1" t="s">
        <v>296</v>
      </c>
      <c r="D412" s="1" t="str">
        <f t="shared" si="80"/>
        <v>Valerie Carr</v>
      </c>
      <c r="E412" s="1">
        <v>26</v>
      </c>
      <c r="F412" s="1" t="s">
        <v>45</v>
      </c>
      <c r="G412" s="1" t="s">
        <v>161</v>
      </c>
      <c r="H412" s="1" t="s">
        <v>297</v>
      </c>
      <c r="I412" s="1" t="s">
        <v>298</v>
      </c>
      <c r="J412" s="1" t="s">
        <v>1063</v>
      </c>
      <c r="K412" s="2">
        <v>45053</v>
      </c>
      <c r="L412" s="2" t="str">
        <f t="shared" si="81"/>
        <v>May</v>
      </c>
      <c r="M412" s="1" t="s">
        <v>1064</v>
      </c>
      <c r="N412" s="1" t="s">
        <v>263</v>
      </c>
      <c r="O412" s="1">
        <v>62.42</v>
      </c>
      <c r="P412" s="1">
        <v>3</v>
      </c>
      <c r="Q412" s="1">
        <f t="shared" si="82"/>
        <v>187.26</v>
      </c>
      <c r="R412" s="1" t="s">
        <v>51</v>
      </c>
      <c r="S412" s="1">
        <f t="shared" si="83"/>
        <v>28.088999999999999</v>
      </c>
      <c r="T412" s="1">
        <f t="shared" si="84"/>
        <v>159.17099999999999</v>
      </c>
      <c r="U412" s="1">
        <v>5</v>
      </c>
      <c r="V412" s="1">
        <f t="shared" si="85"/>
        <v>221.17099999999999</v>
      </c>
      <c r="W412" s="1">
        <v>62</v>
      </c>
      <c r="X412" s="2">
        <v>45058</v>
      </c>
      <c r="Y412" s="1" t="s">
        <v>1065</v>
      </c>
      <c r="Z412" s="1">
        <f t="shared" si="86"/>
        <v>249.26</v>
      </c>
      <c r="AA412" s="1">
        <f t="shared" si="87"/>
        <v>5</v>
      </c>
      <c r="AB412" s="1" t="str">
        <f t="shared" si="88"/>
        <v>Intime</v>
      </c>
      <c r="AC412" s="1">
        <f t="shared" si="89"/>
        <v>187.26</v>
      </c>
      <c r="AD412" s="7">
        <f t="shared" si="90"/>
        <v>0.15</v>
      </c>
      <c r="AE412" s="1">
        <f t="shared" si="91"/>
        <v>28.088999999999999</v>
      </c>
      <c r="AF412" s="1">
        <f t="shared" si="92"/>
        <v>90.088999999999999</v>
      </c>
    </row>
    <row r="413" spans="1:32" ht="14.25" customHeight="1" x14ac:dyDescent="0.3">
      <c r="A413" s="1" t="s">
        <v>1072</v>
      </c>
      <c r="B413" s="1" t="s">
        <v>211</v>
      </c>
      <c r="C413" s="1" t="s">
        <v>1073</v>
      </c>
      <c r="D413" s="1" t="str">
        <f t="shared" si="80"/>
        <v>Mark Summers</v>
      </c>
      <c r="E413" s="1">
        <v>55</v>
      </c>
      <c r="F413" s="1" t="s">
        <v>34</v>
      </c>
      <c r="G413" s="1" t="s">
        <v>152</v>
      </c>
      <c r="H413" s="1" t="s">
        <v>1074</v>
      </c>
      <c r="I413" s="1" t="s">
        <v>1075</v>
      </c>
      <c r="J413" s="1" t="s">
        <v>1273</v>
      </c>
      <c r="K413" s="2">
        <v>45026</v>
      </c>
      <c r="L413" s="2" t="str">
        <f t="shared" si="81"/>
        <v>April</v>
      </c>
      <c r="M413" s="1" t="s">
        <v>1274</v>
      </c>
      <c r="N413" s="1" t="s">
        <v>263</v>
      </c>
      <c r="O413" s="1">
        <v>62.42</v>
      </c>
      <c r="P413" s="1">
        <v>3</v>
      </c>
      <c r="Q413" s="1">
        <f t="shared" si="82"/>
        <v>187.26</v>
      </c>
      <c r="R413" s="1" t="s">
        <v>29</v>
      </c>
      <c r="S413" s="1">
        <f t="shared" si="83"/>
        <v>14.9808</v>
      </c>
      <c r="T413" s="1">
        <f t="shared" si="84"/>
        <v>172.2792</v>
      </c>
      <c r="U413" s="1">
        <v>3</v>
      </c>
      <c r="V413" s="1">
        <f t="shared" si="85"/>
        <v>209.2792</v>
      </c>
      <c r="W413" s="1">
        <v>37</v>
      </c>
      <c r="X413" s="2">
        <v>45031</v>
      </c>
      <c r="Y413" s="1" t="s">
        <v>1275</v>
      </c>
      <c r="Z413" s="1">
        <f t="shared" si="86"/>
        <v>224.26</v>
      </c>
      <c r="AA413" s="1">
        <f t="shared" si="87"/>
        <v>5</v>
      </c>
      <c r="AB413" s="1" t="str">
        <f t="shared" si="88"/>
        <v>Late</v>
      </c>
      <c r="AC413" s="1">
        <f t="shared" si="89"/>
        <v>187.26</v>
      </c>
      <c r="AD413" s="7">
        <f t="shared" si="90"/>
        <v>0.08</v>
      </c>
      <c r="AE413" s="1">
        <f t="shared" si="91"/>
        <v>14.9808</v>
      </c>
      <c r="AF413" s="1">
        <f t="shared" si="92"/>
        <v>51.980800000000002</v>
      </c>
    </row>
    <row r="414" spans="1:32" ht="14.25" customHeight="1" x14ac:dyDescent="0.3">
      <c r="A414" s="1" t="s">
        <v>177</v>
      </c>
      <c r="B414" s="1" t="s">
        <v>178</v>
      </c>
      <c r="C414" s="1" t="s">
        <v>179</v>
      </c>
      <c r="D414" s="1" t="str">
        <f t="shared" si="80"/>
        <v>Mallory Mitchell</v>
      </c>
      <c r="E414" s="1">
        <v>42</v>
      </c>
      <c r="F414" s="1" t="s">
        <v>34</v>
      </c>
      <c r="G414" s="1" t="s">
        <v>161</v>
      </c>
      <c r="H414" s="1" t="s">
        <v>180</v>
      </c>
      <c r="I414" s="1" t="s">
        <v>181</v>
      </c>
      <c r="J414" s="1" t="s">
        <v>1998</v>
      </c>
      <c r="K414" s="2">
        <v>45128</v>
      </c>
      <c r="L414" s="2" t="str">
        <f t="shared" si="81"/>
        <v>July</v>
      </c>
      <c r="M414" s="1" t="s">
        <v>1999</v>
      </c>
      <c r="N414" s="1" t="s">
        <v>263</v>
      </c>
      <c r="O414" s="1">
        <v>62.42</v>
      </c>
      <c r="P414" s="1">
        <v>3</v>
      </c>
      <c r="Q414" s="1">
        <f t="shared" si="82"/>
        <v>187.26</v>
      </c>
      <c r="R414" s="1" t="s">
        <v>29</v>
      </c>
      <c r="S414" s="1">
        <f t="shared" si="83"/>
        <v>14.9808</v>
      </c>
      <c r="T414" s="1">
        <f t="shared" si="84"/>
        <v>172.2792</v>
      </c>
      <c r="U414" s="1">
        <v>6</v>
      </c>
      <c r="V414" s="1">
        <f t="shared" si="85"/>
        <v>211.2792</v>
      </c>
      <c r="W414" s="1">
        <v>39</v>
      </c>
      <c r="X414" s="2">
        <v>45129</v>
      </c>
      <c r="Y414" s="1" t="s">
        <v>2000</v>
      </c>
      <c r="Z414" s="1">
        <f t="shared" si="86"/>
        <v>226.26</v>
      </c>
      <c r="AA414" s="1">
        <f t="shared" si="87"/>
        <v>1</v>
      </c>
      <c r="AB414" s="1" t="str">
        <f t="shared" si="88"/>
        <v>BeforeTime</v>
      </c>
      <c r="AC414" s="1">
        <f t="shared" si="89"/>
        <v>187.26</v>
      </c>
      <c r="AD414" s="7">
        <f t="shared" si="90"/>
        <v>0.08</v>
      </c>
      <c r="AE414" s="1">
        <f t="shared" si="91"/>
        <v>14.9808</v>
      </c>
      <c r="AF414" s="1">
        <f t="shared" si="92"/>
        <v>53.980800000000002</v>
      </c>
    </row>
    <row r="415" spans="1:32" ht="14.25" customHeight="1" x14ac:dyDescent="0.3">
      <c r="A415" s="1" t="s">
        <v>405</v>
      </c>
      <c r="B415" s="1" t="s">
        <v>221</v>
      </c>
      <c r="C415" s="1" t="s">
        <v>406</v>
      </c>
      <c r="D415" s="1" t="str">
        <f t="shared" si="80"/>
        <v>John Ramirez</v>
      </c>
      <c r="E415" s="1">
        <v>28</v>
      </c>
      <c r="F415" s="1" t="s">
        <v>45</v>
      </c>
      <c r="G415" s="1" t="s">
        <v>133</v>
      </c>
      <c r="H415" s="1" t="s">
        <v>407</v>
      </c>
      <c r="I415" s="1" t="s">
        <v>408</v>
      </c>
      <c r="J415" s="1" t="s">
        <v>409</v>
      </c>
      <c r="K415" s="2">
        <v>45365</v>
      </c>
      <c r="L415" s="2" t="str">
        <f t="shared" si="81"/>
        <v>March</v>
      </c>
      <c r="M415" s="1" t="s">
        <v>410</v>
      </c>
      <c r="N415" s="1" t="s">
        <v>411</v>
      </c>
      <c r="O415" s="1">
        <v>44.5</v>
      </c>
      <c r="P415" s="1">
        <v>4</v>
      </c>
      <c r="Q415" s="1">
        <f t="shared" si="82"/>
        <v>178</v>
      </c>
      <c r="R415" s="1" t="s">
        <v>29</v>
      </c>
      <c r="S415" s="1">
        <f t="shared" si="83"/>
        <v>14.24</v>
      </c>
      <c r="T415" s="1">
        <f t="shared" si="84"/>
        <v>163.76</v>
      </c>
      <c r="U415" s="1">
        <v>2</v>
      </c>
      <c r="V415" s="1">
        <f t="shared" si="85"/>
        <v>203.76</v>
      </c>
      <c r="W415" s="1">
        <v>40</v>
      </c>
      <c r="X415" s="2">
        <v>45368</v>
      </c>
      <c r="Y415" s="1" t="s">
        <v>412</v>
      </c>
      <c r="Z415" s="1">
        <f t="shared" si="86"/>
        <v>218</v>
      </c>
      <c r="AA415" s="1">
        <f t="shared" si="87"/>
        <v>3</v>
      </c>
      <c r="AB415" s="1" t="str">
        <f t="shared" si="88"/>
        <v>Late</v>
      </c>
      <c r="AC415" s="1">
        <f t="shared" si="89"/>
        <v>178</v>
      </c>
      <c r="AD415" s="7">
        <f t="shared" si="90"/>
        <v>0.08</v>
      </c>
      <c r="AE415" s="1">
        <f t="shared" si="91"/>
        <v>14.24</v>
      </c>
      <c r="AF415" s="1">
        <f t="shared" si="92"/>
        <v>54.24</v>
      </c>
    </row>
    <row r="416" spans="1:32" ht="14.25" customHeight="1" x14ac:dyDescent="0.3">
      <c r="A416" s="1" t="s">
        <v>918</v>
      </c>
      <c r="B416" s="1" t="s">
        <v>919</v>
      </c>
      <c r="C416" s="1" t="s">
        <v>920</v>
      </c>
      <c r="D416" s="1" t="str">
        <f t="shared" si="80"/>
        <v>Rachael Robinson</v>
      </c>
      <c r="E416" s="1">
        <v>24</v>
      </c>
      <c r="F416" s="1" t="s">
        <v>45</v>
      </c>
      <c r="G416" s="1" t="s">
        <v>213</v>
      </c>
      <c r="H416" s="1" t="s">
        <v>921</v>
      </c>
      <c r="I416" s="1" t="s">
        <v>922</v>
      </c>
      <c r="J416" s="1" t="s">
        <v>960</v>
      </c>
      <c r="K416" s="2">
        <v>45525</v>
      </c>
      <c r="L416" s="2" t="str">
        <f t="shared" si="81"/>
        <v>August</v>
      </c>
      <c r="M416" s="1" t="s">
        <v>961</v>
      </c>
      <c r="N416" s="1" t="s">
        <v>411</v>
      </c>
      <c r="O416" s="1">
        <v>44.5</v>
      </c>
      <c r="P416" s="1">
        <v>4</v>
      </c>
      <c r="Q416" s="1">
        <f t="shared" si="82"/>
        <v>178</v>
      </c>
      <c r="R416" s="1" t="s">
        <v>29</v>
      </c>
      <c r="S416" s="1">
        <f t="shared" si="83"/>
        <v>14.24</v>
      </c>
      <c r="T416" s="1">
        <f t="shared" si="84"/>
        <v>163.76</v>
      </c>
      <c r="U416" s="1">
        <v>5</v>
      </c>
      <c r="V416" s="1">
        <f t="shared" si="85"/>
        <v>203.76</v>
      </c>
      <c r="W416" s="1">
        <v>40</v>
      </c>
      <c r="X416" s="2">
        <v>45531</v>
      </c>
      <c r="Y416" s="1" t="s">
        <v>962</v>
      </c>
      <c r="Z416" s="1">
        <f t="shared" si="86"/>
        <v>218</v>
      </c>
      <c r="AA416" s="1">
        <f t="shared" si="87"/>
        <v>6</v>
      </c>
      <c r="AB416" s="1" t="str">
        <f t="shared" si="88"/>
        <v>Late</v>
      </c>
      <c r="AC416" s="1">
        <f t="shared" si="89"/>
        <v>178</v>
      </c>
      <c r="AD416" s="7">
        <f t="shared" si="90"/>
        <v>0.08</v>
      </c>
      <c r="AE416" s="1">
        <f t="shared" si="91"/>
        <v>14.24</v>
      </c>
      <c r="AF416" s="1">
        <f t="shared" si="92"/>
        <v>54.24</v>
      </c>
    </row>
    <row r="417" spans="1:32" ht="14.25" customHeight="1" x14ac:dyDescent="0.3">
      <c r="A417" s="1" t="s">
        <v>229</v>
      </c>
      <c r="B417" s="1" t="s">
        <v>59</v>
      </c>
      <c r="C417" s="1" t="s">
        <v>230</v>
      </c>
      <c r="D417" s="1" t="str">
        <f t="shared" si="80"/>
        <v>Angela Evans</v>
      </c>
      <c r="E417" s="1">
        <v>52</v>
      </c>
      <c r="F417" s="1" t="s">
        <v>45</v>
      </c>
      <c r="G417" s="1" t="s">
        <v>35</v>
      </c>
      <c r="H417" s="1" t="s">
        <v>231</v>
      </c>
      <c r="I417" s="1" t="s">
        <v>232</v>
      </c>
      <c r="J417" s="1" t="s">
        <v>2046</v>
      </c>
      <c r="K417" s="2">
        <v>45501</v>
      </c>
      <c r="L417" s="2" t="str">
        <f t="shared" si="81"/>
        <v>July</v>
      </c>
      <c r="M417" s="1" t="s">
        <v>2047</v>
      </c>
      <c r="N417" s="1" t="s">
        <v>411</v>
      </c>
      <c r="O417" s="1">
        <v>44.5</v>
      </c>
      <c r="P417" s="1">
        <v>4</v>
      </c>
      <c r="Q417" s="1">
        <f t="shared" si="82"/>
        <v>178</v>
      </c>
      <c r="R417" s="1" t="s">
        <v>56</v>
      </c>
      <c r="S417" s="1">
        <f t="shared" si="83"/>
        <v>0</v>
      </c>
      <c r="T417" s="1">
        <f t="shared" si="84"/>
        <v>178</v>
      </c>
      <c r="U417" s="1">
        <v>3</v>
      </c>
      <c r="V417" s="1">
        <f t="shared" si="85"/>
        <v>223</v>
      </c>
      <c r="W417" s="1">
        <v>45</v>
      </c>
      <c r="X417" s="2">
        <v>45504</v>
      </c>
      <c r="Y417" s="1" t="s">
        <v>2048</v>
      </c>
      <c r="Z417" s="1">
        <f t="shared" si="86"/>
        <v>223</v>
      </c>
      <c r="AA417" s="1">
        <f t="shared" si="87"/>
        <v>3</v>
      </c>
      <c r="AB417" s="1" t="str">
        <f t="shared" si="88"/>
        <v>Intime</v>
      </c>
      <c r="AC417" s="1">
        <f t="shared" si="89"/>
        <v>178</v>
      </c>
      <c r="AD417" s="7">
        <f t="shared" si="90"/>
        <v>0</v>
      </c>
      <c r="AE417" s="1">
        <f t="shared" si="91"/>
        <v>0</v>
      </c>
      <c r="AF417" s="1">
        <f t="shared" si="92"/>
        <v>0</v>
      </c>
    </row>
    <row r="418" spans="1:32" ht="14.25" customHeight="1" x14ac:dyDescent="0.3">
      <c r="A418" s="1" t="s">
        <v>1231</v>
      </c>
      <c r="B418" s="1" t="s">
        <v>1232</v>
      </c>
      <c r="C418" s="1" t="s">
        <v>1233</v>
      </c>
      <c r="D418" s="1" t="str">
        <f t="shared" si="80"/>
        <v>Hannah Gutierrez</v>
      </c>
      <c r="E418" s="1">
        <v>55</v>
      </c>
      <c r="F418" s="1" t="s">
        <v>34</v>
      </c>
      <c r="G418" s="1" t="s">
        <v>152</v>
      </c>
      <c r="H418" s="1" t="s">
        <v>1234</v>
      </c>
      <c r="I418" s="1" t="s">
        <v>1235</v>
      </c>
      <c r="J418" s="1" t="s">
        <v>1583</v>
      </c>
      <c r="K418" s="2">
        <v>44982</v>
      </c>
      <c r="L418" s="2" t="str">
        <f t="shared" si="81"/>
        <v>February</v>
      </c>
      <c r="M418" s="1" t="s">
        <v>1584</v>
      </c>
      <c r="N418" s="1" t="s">
        <v>474</v>
      </c>
      <c r="O418" s="1">
        <v>87.09</v>
      </c>
      <c r="P418" s="1">
        <v>2</v>
      </c>
      <c r="Q418" s="1">
        <f t="shared" si="82"/>
        <v>174.18</v>
      </c>
      <c r="R418" s="1" t="s">
        <v>51</v>
      </c>
      <c r="S418" s="1">
        <f t="shared" si="83"/>
        <v>26.126999999999999</v>
      </c>
      <c r="T418" s="1">
        <f t="shared" si="84"/>
        <v>148.053</v>
      </c>
      <c r="U418" s="1">
        <v>3</v>
      </c>
      <c r="V418" s="1">
        <f t="shared" si="85"/>
        <v>210.053</v>
      </c>
      <c r="W418" s="1">
        <v>62</v>
      </c>
      <c r="X418" s="2">
        <v>44987</v>
      </c>
      <c r="Y418" s="1" t="s">
        <v>1585</v>
      </c>
      <c r="Z418" s="1">
        <f t="shared" si="86"/>
        <v>236.18</v>
      </c>
      <c r="AA418" s="1">
        <f t="shared" si="87"/>
        <v>5</v>
      </c>
      <c r="AB418" s="1" t="str">
        <f t="shared" si="88"/>
        <v>Late</v>
      </c>
      <c r="AC418" s="1">
        <f t="shared" si="89"/>
        <v>174.18</v>
      </c>
      <c r="AD418" s="7">
        <f t="shared" si="90"/>
        <v>0.15</v>
      </c>
      <c r="AE418" s="1">
        <f t="shared" si="91"/>
        <v>26.126999999999999</v>
      </c>
      <c r="AF418" s="1">
        <f t="shared" si="92"/>
        <v>88.126999999999995</v>
      </c>
    </row>
    <row r="419" spans="1:32" ht="14.25" customHeight="1" x14ac:dyDescent="0.3">
      <c r="A419" s="1" t="s">
        <v>528</v>
      </c>
      <c r="B419" s="1" t="s">
        <v>529</v>
      </c>
      <c r="C419" s="1" t="s">
        <v>530</v>
      </c>
      <c r="D419" s="1" t="str">
        <f t="shared" si="80"/>
        <v>Brandon Cruz</v>
      </c>
      <c r="E419" s="1">
        <v>32</v>
      </c>
      <c r="F419" s="1" t="s">
        <v>45</v>
      </c>
      <c r="G419" s="1" t="s">
        <v>83</v>
      </c>
      <c r="H419" s="1" t="s">
        <v>531</v>
      </c>
      <c r="I419" s="1" t="s">
        <v>532</v>
      </c>
      <c r="J419" s="1" t="s">
        <v>1635</v>
      </c>
      <c r="K419" s="2">
        <v>45006</v>
      </c>
      <c r="L419" s="2" t="str">
        <f t="shared" si="81"/>
        <v>March</v>
      </c>
      <c r="M419" s="1" t="s">
        <v>1636</v>
      </c>
      <c r="N419" s="1" t="s">
        <v>474</v>
      </c>
      <c r="O419" s="1">
        <v>87.09</v>
      </c>
      <c r="P419" s="1">
        <v>2</v>
      </c>
      <c r="Q419" s="1">
        <f t="shared" si="82"/>
        <v>174.18</v>
      </c>
      <c r="R419" s="1" t="s">
        <v>56</v>
      </c>
      <c r="S419" s="1">
        <f t="shared" si="83"/>
        <v>0</v>
      </c>
      <c r="T419" s="1">
        <f t="shared" si="84"/>
        <v>174.18</v>
      </c>
      <c r="U419" s="1">
        <v>4</v>
      </c>
      <c r="V419" s="1">
        <f t="shared" si="85"/>
        <v>241.18</v>
      </c>
      <c r="W419" s="1">
        <v>67</v>
      </c>
      <c r="X419" s="2">
        <v>45010</v>
      </c>
      <c r="Y419" s="1" t="s">
        <v>1637</v>
      </c>
      <c r="Z419" s="1">
        <f t="shared" si="86"/>
        <v>241.18</v>
      </c>
      <c r="AA419" s="1">
        <f t="shared" si="87"/>
        <v>4</v>
      </c>
      <c r="AB419" s="1" t="str">
        <f t="shared" si="88"/>
        <v>Intime</v>
      </c>
      <c r="AC419" s="1">
        <f t="shared" si="89"/>
        <v>174.18</v>
      </c>
      <c r="AD419" s="7">
        <f t="shared" si="90"/>
        <v>0</v>
      </c>
      <c r="AE419" s="1">
        <f t="shared" si="91"/>
        <v>0</v>
      </c>
      <c r="AF419" s="1">
        <f t="shared" si="92"/>
        <v>0</v>
      </c>
    </row>
    <row r="420" spans="1:32" ht="14.25" customHeight="1" x14ac:dyDescent="0.3">
      <c r="A420" s="1" t="s">
        <v>394</v>
      </c>
      <c r="B420" s="1" t="s">
        <v>395</v>
      </c>
      <c r="C420" s="1" t="s">
        <v>396</v>
      </c>
      <c r="D420" s="1" t="str">
        <f t="shared" si="80"/>
        <v>Alexandra Smith</v>
      </c>
      <c r="E420" s="1">
        <v>70</v>
      </c>
      <c r="F420" s="1" t="s">
        <v>22</v>
      </c>
      <c r="G420" s="1" t="s">
        <v>23</v>
      </c>
      <c r="H420" s="1" t="s">
        <v>397</v>
      </c>
      <c r="I420" s="1" t="s">
        <v>398</v>
      </c>
      <c r="J420" s="1" t="s">
        <v>1795</v>
      </c>
      <c r="K420" s="2">
        <v>45622</v>
      </c>
      <c r="L420" s="2" t="str">
        <f t="shared" si="81"/>
        <v>November</v>
      </c>
      <c r="M420" s="1" t="s">
        <v>1796</v>
      </c>
      <c r="N420" s="1" t="s">
        <v>977</v>
      </c>
      <c r="O420" s="1">
        <v>33.49</v>
      </c>
      <c r="P420" s="1">
        <v>5</v>
      </c>
      <c r="Q420" s="1">
        <f t="shared" si="82"/>
        <v>167.45000000000002</v>
      </c>
      <c r="R420" s="1" t="s">
        <v>78</v>
      </c>
      <c r="S420" s="1">
        <f t="shared" si="83"/>
        <v>33.49</v>
      </c>
      <c r="T420" s="1">
        <f t="shared" si="84"/>
        <v>133.96</v>
      </c>
      <c r="U420" s="1">
        <v>5</v>
      </c>
      <c r="V420" s="1">
        <f t="shared" si="85"/>
        <v>197.96</v>
      </c>
      <c r="W420" s="1">
        <v>64</v>
      </c>
      <c r="X420" s="2">
        <v>45628</v>
      </c>
      <c r="Y420" s="1" t="s">
        <v>1797</v>
      </c>
      <c r="Z420" s="1">
        <f t="shared" si="86"/>
        <v>231.45000000000002</v>
      </c>
      <c r="AA420" s="1">
        <f t="shared" si="87"/>
        <v>6</v>
      </c>
      <c r="AB420" s="1" t="str">
        <f t="shared" si="88"/>
        <v>Late</v>
      </c>
      <c r="AC420" s="1">
        <f t="shared" si="89"/>
        <v>167.45000000000002</v>
      </c>
      <c r="AD420" s="7">
        <f t="shared" si="90"/>
        <v>0.2</v>
      </c>
      <c r="AE420" s="1">
        <f t="shared" si="91"/>
        <v>33.49</v>
      </c>
      <c r="AF420" s="1">
        <f t="shared" si="92"/>
        <v>97.490000000000009</v>
      </c>
    </row>
    <row r="421" spans="1:32" ht="14.25" customHeight="1" x14ac:dyDescent="0.3">
      <c r="A421" s="1" t="s">
        <v>724</v>
      </c>
      <c r="B421" s="1" t="s">
        <v>725</v>
      </c>
      <c r="C421" s="1" t="s">
        <v>726</v>
      </c>
      <c r="D421" s="1" t="str">
        <f t="shared" si="80"/>
        <v>Melissa Levy</v>
      </c>
      <c r="E421" s="1">
        <v>30</v>
      </c>
      <c r="F421" s="1" t="s">
        <v>22</v>
      </c>
      <c r="G421" s="1" t="s">
        <v>152</v>
      </c>
      <c r="H421" s="1" t="s">
        <v>727</v>
      </c>
      <c r="I421" s="1" t="s">
        <v>728</v>
      </c>
      <c r="J421" s="1" t="s">
        <v>1804</v>
      </c>
      <c r="K421" s="2">
        <v>45587</v>
      </c>
      <c r="L421" s="2" t="str">
        <f t="shared" si="81"/>
        <v>October</v>
      </c>
      <c r="M421" s="1" t="s">
        <v>1805</v>
      </c>
      <c r="N421" s="1" t="s">
        <v>977</v>
      </c>
      <c r="O421" s="1">
        <v>33.49</v>
      </c>
      <c r="P421" s="1">
        <v>5</v>
      </c>
      <c r="Q421" s="1">
        <f t="shared" si="82"/>
        <v>167.45000000000002</v>
      </c>
      <c r="R421" s="1" t="s">
        <v>78</v>
      </c>
      <c r="S421" s="1">
        <f t="shared" si="83"/>
        <v>33.49</v>
      </c>
      <c r="T421" s="1">
        <f t="shared" si="84"/>
        <v>133.96</v>
      </c>
      <c r="U421" s="1">
        <v>2</v>
      </c>
      <c r="V421" s="1">
        <f t="shared" si="85"/>
        <v>191.96</v>
      </c>
      <c r="W421" s="1">
        <v>58</v>
      </c>
      <c r="X421" s="2">
        <v>45589</v>
      </c>
      <c r="Y421" s="1" t="s">
        <v>1806</v>
      </c>
      <c r="Z421" s="1">
        <f t="shared" si="86"/>
        <v>225.45000000000002</v>
      </c>
      <c r="AA421" s="1">
        <f t="shared" si="87"/>
        <v>2</v>
      </c>
      <c r="AB421" s="1" t="str">
        <f t="shared" si="88"/>
        <v>Intime</v>
      </c>
      <c r="AC421" s="1">
        <f t="shared" si="89"/>
        <v>167.45000000000002</v>
      </c>
      <c r="AD421" s="7">
        <f t="shared" si="90"/>
        <v>0.2</v>
      </c>
      <c r="AE421" s="1">
        <f t="shared" si="91"/>
        <v>33.49</v>
      </c>
      <c r="AF421" s="1">
        <f t="shared" si="92"/>
        <v>91.490000000000009</v>
      </c>
    </row>
    <row r="422" spans="1:32" ht="14.25" customHeight="1" x14ac:dyDescent="0.3">
      <c r="A422" s="1" t="s">
        <v>58</v>
      </c>
      <c r="B422" s="1" t="s">
        <v>59</v>
      </c>
      <c r="C422" s="1" t="s">
        <v>60</v>
      </c>
      <c r="D422" s="1" t="str">
        <f t="shared" si="80"/>
        <v>Angela Horne</v>
      </c>
      <c r="E422" s="1">
        <v>49</v>
      </c>
      <c r="F422" s="1" t="s">
        <v>45</v>
      </c>
      <c r="G422" s="1" t="s">
        <v>23</v>
      </c>
      <c r="H422" s="1" t="s">
        <v>61</v>
      </c>
      <c r="I422" s="1" t="s">
        <v>62</v>
      </c>
      <c r="J422" s="1" t="s">
        <v>63</v>
      </c>
      <c r="K422" s="2">
        <v>45391</v>
      </c>
      <c r="L422" s="2" t="str">
        <f t="shared" si="81"/>
        <v>April</v>
      </c>
      <c r="M422" s="1" t="s">
        <v>64</v>
      </c>
      <c r="N422" s="1" t="s">
        <v>40</v>
      </c>
      <c r="O422" s="1">
        <v>166.28</v>
      </c>
      <c r="P422" s="1">
        <v>1</v>
      </c>
      <c r="Q422" s="1">
        <f t="shared" si="82"/>
        <v>166.28</v>
      </c>
      <c r="R422" s="1" t="s">
        <v>29</v>
      </c>
      <c r="S422" s="1">
        <f t="shared" si="83"/>
        <v>13.3024</v>
      </c>
      <c r="T422" s="1">
        <f t="shared" si="84"/>
        <v>152.9776</v>
      </c>
      <c r="U422" s="1">
        <v>2</v>
      </c>
      <c r="V422" s="1">
        <f t="shared" si="85"/>
        <v>206.9776</v>
      </c>
      <c r="W422" s="1">
        <v>54</v>
      </c>
      <c r="X422" s="2">
        <v>45395</v>
      </c>
      <c r="Y422" s="1" t="s">
        <v>65</v>
      </c>
      <c r="Z422" s="1">
        <f t="shared" si="86"/>
        <v>220.28</v>
      </c>
      <c r="AA422" s="1">
        <f t="shared" si="87"/>
        <v>4</v>
      </c>
      <c r="AB422" s="1" t="str">
        <f t="shared" si="88"/>
        <v>Late</v>
      </c>
      <c r="AC422" s="1">
        <f t="shared" si="89"/>
        <v>166.28</v>
      </c>
      <c r="AD422" s="7">
        <f t="shared" si="90"/>
        <v>0.08</v>
      </c>
      <c r="AE422" s="1">
        <f t="shared" si="91"/>
        <v>13.3024</v>
      </c>
      <c r="AF422" s="1">
        <f t="shared" si="92"/>
        <v>67.302400000000006</v>
      </c>
    </row>
    <row r="423" spans="1:32" ht="14.25" customHeight="1" x14ac:dyDescent="0.3">
      <c r="A423" s="1" t="s">
        <v>639</v>
      </c>
      <c r="B423" s="1" t="s">
        <v>640</v>
      </c>
      <c r="C423" s="1" t="s">
        <v>641</v>
      </c>
      <c r="D423" s="1" t="str">
        <f t="shared" si="80"/>
        <v>Beth Mason</v>
      </c>
      <c r="E423" s="1">
        <v>45</v>
      </c>
      <c r="F423" s="1" t="s">
        <v>45</v>
      </c>
      <c r="G423" s="1" t="s">
        <v>83</v>
      </c>
      <c r="H423" s="1" t="s">
        <v>642</v>
      </c>
      <c r="I423" s="1" t="s">
        <v>643</v>
      </c>
      <c r="J423" s="1" t="s">
        <v>1975</v>
      </c>
      <c r="K423" s="2">
        <v>45327</v>
      </c>
      <c r="L423" s="2" t="str">
        <f t="shared" si="81"/>
        <v>February</v>
      </c>
      <c r="M423" s="1" t="s">
        <v>1976</v>
      </c>
      <c r="N423" s="1" t="s">
        <v>40</v>
      </c>
      <c r="O423" s="1">
        <v>166.28</v>
      </c>
      <c r="P423" s="1">
        <v>1</v>
      </c>
      <c r="Q423" s="1">
        <f t="shared" si="82"/>
        <v>166.28</v>
      </c>
      <c r="R423" s="1" t="s">
        <v>56</v>
      </c>
      <c r="S423" s="1">
        <f t="shared" si="83"/>
        <v>0</v>
      </c>
      <c r="T423" s="1">
        <f t="shared" si="84"/>
        <v>166.28</v>
      </c>
      <c r="U423" s="1">
        <v>2</v>
      </c>
      <c r="V423" s="1">
        <f t="shared" si="85"/>
        <v>204.28</v>
      </c>
      <c r="W423" s="1">
        <v>38</v>
      </c>
      <c r="X423" s="2">
        <v>45328</v>
      </c>
      <c r="Y423" s="1" t="s">
        <v>1977</v>
      </c>
      <c r="Z423" s="1">
        <f t="shared" si="86"/>
        <v>204.28</v>
      </c>
      <c r="AA423" s="1">
        <f t="shared" si="87"/>
        <v>1</v>
      </c>
      <c r="AB423" s="1" t="str">
        <f t="shared" si="88"/>
        <v>BeforeTime</v>
      </c>
      <c r="AC423" s="1">
        <f t="shared" si="89"/>
        <v>166.28</v>
      </c>
      <c r="AD423" s="7">
        <f t="shared" si="90"/>
        <v>0</v>
      </c>
      <c r="AE423" s="1">
        <f t="shared" si="91"/>
        <v>0</v>
      </c>
      <c r="AF423" s="1">
        <f t="shared" si="92"/>
        <v>0</v>
      </c>
    </row>
    <row r="424" spans="1:32" ht="14.25" customHeight="1" x14ac:dyDescent="0.3">
      <c r="A424" s="1" t="s">
        <v>468</v>
      </c>
      <c r="B424" s="1" t="s">
        <v>101</v>
      </c>
      <c r="C424" s="1" t="s">
        <v>469</v>
      </c>
      <c r="D424" s="1" t="str">
        <f t="shared" si="80"/>
        <v>Debra Hayes</v>
      </c>
      <c r="E424" s="1">
        <v>33</v>
      </c>
      <c r="F424" s="1" t="s">
        <v>22</v>
      </c>
      <c r="G424" s="1" t="s">
        <v>161</v>
      </c>
      <c r="H424" s="1" t="s">
        <v>470</v>
      </c>
      <c r="I424" s="1" t="s">
        <v>471</v>
      </c>
      <c r="J424" s="1" t="s">
        <v>1668</v>
      </c>
      <c r="K424" s="2">
        <v>45060</v>
      </c>
      <c r="L424" s="2" t="str">
        <f t="shared" si="81"/>
        <v>May</v>
      </c>
      <c r="M424" s="1" t="s">
        <v>1669</v>
      </c>
      <c r="N424" s="1" t="s">
        <v>280</v>
      </c>
      <c r="O424" s="1">
        <v>157.63999999999999</v>
      </c>
      <c r="P424" s="1">
        <v>1</v>
      </c>
      <c r="Q424" s="1">
        <f t="shared" si="82"/>
        <v>157.63999999999999</v>
      </c>
      <c r="R424" s="1" t="s">
        <v>89</v>
      </c>
      <c r="S424" s="1">
        <f t="shared" si="83"/>
        <v>15.763999999999999</v>
      </c>
      <c r="T424" s="1">
        <f t="shared" si="84"/>
        <v>141.87599999999998</v>
      </c>
      <c r="U424" s="1">
        <v>7</v>
      </c>
      <c r="V424" s="1">
        <f t="shared" si="85"/>
        <v>189.87599999999998</v>
      </c>
      <c r="W424" s="1">
        <v>48</v>
      </c>
      <c r="X424" s="2">
        <v>45067</v>
      </c>
      <c r="Y424" s="1" t="s">
        <v>1670</v>
      </c>
      <c r="Z424" s="1">
        <f t="shared" si="86"/>
        <v>205.64</v>
      </c>
      <c r="AA424" s="1">
        <f t="shared" si="87"/>
        <v>7</v>
      </c>
      <c r="AB424" s="1" t="str">
        <f t="shared" si="88"/>
        <v>Intime</v>
      </c>
      <c r="AC424" s="1">
        <f t="shared" si="89"/>
        <v>157.63999999999999</v>
      </c>
      <c r="AD424" s="7">
        <f t="shared" si="90"/>
        <v>0.1</v>
      </c>
      <c r="AE424" s="1">
        <f t="shared" si="91"/>
        <v>15.763999999999999</v>
      </c>
      <c r="AF424" s="1">
        <f t="shared" si="92"/>
        <v>63.763999999999996</v>
      </c>
    </row>
    <row r="425" spans="1:32" ht="14.25" customHeight="1" x14ac:dyDescent="0.3">
      <c r="A425" s="1" t="s">
        <v>428</v>
      </c>
      <c r="B425" s="1" t="s">
        <v>429</v>
      </c>
      <c r="C425" s="1" t="s">
        <v>430</v>
      </c>
      <c r="D425" s="1" t="str">
        <f t="shared" si="80"/>
        <v>Mary Knight</v>
      </c>
      <c r="E425" s="1">
        <v>28</v>
      </c>
      <c r="F425" s="1" t="s">
        <v>45</v>
      </c>
      <c r="G425" s="1" t="s">
        <v>69</v>
      </c>
      <c r="H425" s="1" t="s">
        <v>431</v>
      </c>
      <c r="I425" s="1" t="s">
        <v>432</v>
      </c>
      <c r="J425" s="1" t="s">
        <v>1744</v>
      </c>
      <c r="K425" s="2">
        <v>45350</v>
      </c>
      <c r="L425" s="2" t="str">
        <f t="shared" si="81"/>
        <v>February</v>
      </c>
      <c r="M425" s="1" t="s">
        <v>1745</v>
      </c>
      <c r="N425" s="1" t="s">
        <v>280</v>
      </c>
      <c r="O425" s="1">
        <v>157.63999999999999</v>
      </c>
      <c r="P425" s="1">
        <v>1</v>
      </c>
      <c r="Q425" s="1">
        <f t="shared" si="82"/>
        <v>157.63999999999999</v>
      </c>
      <c r="R425" s="1" t="s">
        <v>78</v>
      </c>
      <c r="S425" s="1">
        <f t="shared" si="83"/>
        <v>31.527999999999999</v>
      </c>
      <c r="T425" s="1">
        <f t="shared" si="84"/>
        <v>126.11199999999999</v>
      </c>
      <c r="U425" s="1">
        <v>1</v>
      </c>
      <c r="V425" s="1">
        <f t="shared" si="85"/>
        <v>185.11199999999999</v>
      </c>
      <c r="W425" s="1">
        <v>59</v>
      </c>
      <c r="X425" s="2">
        <v>45356</v>
      </c>
      <c r="Y425" s="1" t="s">
        <v>1746</v>
      </c>
      <c r="Z425" s="1">
        <f t="shared" si="86"/>
        <v>216.64</v>
      </c>
      <c r="AA425" s="1">
        <f t="shared" si="87"/>
        <v>6</v>
      </c>
      <c r="AB425" s="1" t="str">
        <f t="shared" si="88"/>
        <v>Late</v>
      </c>
      <c r="AC425" s="1">
        <f t="shared" si="89"/>
        <v>157.63999999999999</v>
      </c>
      <c r="AD425" s="7">
        <f t="shared" si="90"/>
        <v>0.2</v>
      </c>
      <c r="AE425" s="1">
        <f t="shared" si="91"/>
        <v>31.527999999999999</v>
      </c>
      <c r="AF425" s="1">
        <f t="shared" si="92"/>
        <v>90.527999999999992</v>
      </c>
    </row>
    <row r="426" spans="1:32" ht="14.25" customHeight="1" x14ac:dyDescent="0.3">
      <c r="A426" s="1" t="s">
        <v>359</v>
      </c>
      <c r="B426" s="1" t="s">
        <v>360</v>
      </c>
      <c r="C426" s="1" t="s">
        <v>361</v>
      </c>
      <c r="D426" s="1" t="str">
        <f t="shared" si="80"/>
        <v>Timothy Hicks</v>
      </c>
      <c r="E426" s="1">
        <v>31</v>
      </c>
      <c r="F426" s="1" t="s">
        <v>45</v>
      </c>
      <c r="G426" s="1" t="s">
        <v>133</v>
      </c>
      <c r="H426" s="1" t="s">
        <v>362</v>
      </c>
      <c r="I426" s="1" t="s">
        <v>363</v>
      </c>
      <c r="J426" s="1" t="s">
        <v>1910</v>
      </c>
      <c r="K426" s="2">
        <v>45525</v>
      </c>
      <c r="L426" s="2" t="str">
        <f t="shared" si="81"/>
        <v>August</v>
      </c>
      <c r="M426" s="1" t="s">
        <v>1911</v>
      </c>
      <c r="N426" s="1" t="s">
        <v>280</v>
      </c>
      <c r="O426" s="1">
        <v>157.63999999999999</v>
      </c>
      <c r="P426" s="1">
        <v>1</v>
      </c>
      <c r="Q426" s="1">
        <f t="shared" si="82"/>
        <v>157.63999999999999</v>
      </c>
      <c r="R426" s="1" t="s">
        <v>78</v>
      </c>
      <c r="S426" s="1">
        <f t="shared" si="83"/>
        <v>31.527999999999999</v>
      </c>
      <c r="T426" s="1">
        <f t="shared" si="84"/>
        <v>126.11199999999999</v>
      </c>
      <c r="U426" s="1">
        <v>7</v>
      </c>
      <c r="V426" s="1">
        <f t="shared" si="85"/>
        <v>172.11199999999999</v>
      </c>
      <c r="W426" s="1">
        <v>46</v>
      </c>
      <c r="X426" s="2">
        <v>45527</v>
      </c>
      <c r="Y426" s="1" t="s">
        <v>1912</v>
      </c>
      <c r="Z426" s="1">
        <f t="shared" si="86"/>
        <v>203.64</v>
      </c>
      <c r="AA426" s="1">
        <f t="shared" si="87"/>
        <v>2</v>
      </c>
      <c r="AB426" s="1" t="str">
        <f t="shared" si="88"/>
        <v>BeforeTime</v>
      </c>
      <c r="AC426" s="1">
        <f t="shared" si="89"/>
        <v>157.63999999999999</v>
      </c>
      <c r="AD426" s="7">
        <f t="shared" si="90"/>
        <v>0.2</v>
      </c>
      <c r="AE426" s="1">
        <f t="shared" si="91"/>
        <v>31.527999999999999</v>
      </c>
      <c r="AF426" s="1">
        <f t="shared" si="92"/>
        <v>77.527999999999992</v>
      </c>
    </row>
    <row r="427" spans="1:32" ht="14.25" customHeight="1" x14ac:dyDescent="0.3">
      <c r="A427" s="1" t="s">
        <v>521</v>
      </c>
      <c r="B427" s="1" t="s">
        <v>387</v>
      </c>
      <c r="C427" s="1" t="s">
        <v>522</v>
      </c>
      <c r="D427" s="1" t="str">
        <f t="shared" si="80"/>
        <v>Jason Nguyen</v>
      </c>
      <c r="E427" s="1">
        <v>51</v>
      </c>
      <c r="F427" s="1" t="s">
        <v>45</v>
      </c>
      <c r="G427" s="1" t="s">
        <v>133</v>
      </c>
      <c r="H427" s="1" t="s">
        <v>523</v>
      </c>
      <c r="I427" s="1" t="s">
        <v>524</v>
      </c>
      <c r="J427" s="1" t="s">
        <v>783</v>
      </c>
      <c r="K427" s="2">
        <v>45335</v>
      </c>
      <c r="L427" s="2" t="str">
        <f t="shared" si="81"/>
        <v>February</v>
      </c>
      <c r="M427" s="1" t="s">
        <v>784</v>
      </c>
      <c r="N427" s="1" t="s">
        <v>333</v>
      </c>
      <c r="O427" s="1">
        <v>77.84</v>
      </c>
      <c r="P427" s="1">
        <v>2</v>
      </c>
      <c r="Q427" s="1">
        <f t="shared" si="82"/>
        <v>155.68</v>
      </c>
      <c r="R427" s="1" t="s">
        <v>29</v>
      </c>
      <c r="S427" s="1">
        <f t="shared" si="83"/>
        <v>12.454400000000001</v>
      </c>
      <c r="T427" s="1">
        <f t="shared" si="84"/>
        <v>143.22560000000001</v>
      </c>
      <c r="U427" s="1">
        <v>6</v>
      </c>
      <c r="V427" s="1">
        <f t="shared" si="85"/>
        <v>179.22560000000001</v>
      </c>
      <c r="W427" s="1">
        <v>36</v>
      </c>
      <c r="X427" s="2">
        <v>45341</v>
      </c>
      <c r="Y427" s="1" t="s">
        <v>785</v>
      </c>
      <c r="Z427" s="1">
        <f t="shared" si="86"/>
        <v>191.68</v>
      </c>
      <c r="AA427" s="1">
        <f t="shared" si="87"/>
        <v>6</v>
      </c>
      <c r="AB427" s="1" t="str">
        <f t="shared" si="88"/>
        <v>Intime</v>
      </c>
      <c r="AC427" s="1">
        <f t="shared" si="89"/>
        <v>155.68</v>
      </c>
      <c r="AD427" s="7">
        <f t="shared" si="90"/>
        <v>0.08</v>
      </c>
      <c r="AE427" s="1">
        <f t="shared" si="91"/>
        <v>12.454400000000001</v>
      </c>
      <c r="AF427" s="1">
        <f t="shared" si="92"/>
        <v>48.4544</v>
      </c>
    </row>
    <row r="428" spans="1:32" ht="14.25" customHeight="1" x14ac:dyDescent="0.3">
      <c r="A428" s="1" t="s">
        <v>1450</v>
      </c>
      <c r="B428" s="1" t="s">
        <v>266</v>
      </c>
      <c r="C428" s="1" t="s">
        <v>1451</v>
      </c>
      <c r="D428" s="1" t="str">
        <f t="shared" si="80"/>
        <v>Lauren Lane</v>
      </c>
      <c r="E428" s="1">
        <v>30</v>
      </c>
      <c r="F428" s="1" t="s">
        <v>22</v>
      </c>
      <c r="G428" s="1" t="s">
        <v>213</v>
      </c>
      <c r="H428" s="1" t="s">
        <v>1452</v>
      </c>
      <c r="I428" s="1" t="s">
        <v>1453</v>
      </c>
      <c r="J428" s="1" t="s">
        <v>1491</v>
      </c>
      <c r="K428" s="2">
        <v>45420</v>
      </c>
      <c r="L428" s="2" t="str">
        <f t="shared" si="81"/>
        <v>May</v>
      </c>
      <c r="M428" s="1" t="s">
        <v>1492</v>
      </c>
      <c r="N428" s="1" t="s">
        <v>107</v>
      </c>
      <c r="O428" s="1">
        <v>48.45</v>
      </c>
      <c r="P428" s="1">
        <v>3</v>
      </c>
      <c r="Q428" s="1">
        <f t="shared" si="82"/>
        <v>145.35000000000002</v>
      </c>
      <c r="R428" s="1" t="s">
        <v>89</v>
      </c>
      <c r="S428" s="1">
        <f t="shared" si="83"/>
        <v>14.535000000000004</v>
      </c>
      <c r="T428" s="1">
        <f t="shared" si="84"/>
        <v>130.81500000000003</v>
      </c>
      <c r="U428" s="1">
        <v>2</v>
      </c>
      <c r="V428" s="1">
        <f t="shared" si="85"/>
        <v>193.81500000000003</v>
      </c>
      <c r="W428" s="1">
        <v>63</v>
      </c>
      <c r="X428" s="2">
        <v>45422</v>
      </c>
      <c r="Y428" s="1" t="s">
        <v>1493</v>
      </c>
      <c r="Z428" s="1">
        <f t="shared" si="86"/>
        <v>208.35000000000002</v>
      </c>
      <c r="AA428" s="1">
        <f t="shared" si="87"/>
        <v>2</v>
      </c>
      <c r="AB428" s="1" t="str">
        <f t="shared" si="88"/>
        <v>Intime</v>
      </c>
      <c r="AC428" s="1">
        <f t="shared" si="89"/>
        <v>145.35000000000002</v>
      </c>
      <c r="AD428" s="7">
        <f t="shared" si="90"/>
        <v>0.1</v>
      </c>
      <c r="AE428" s="1">
        <f t="shared" si="91"/>
        <v>14.535000000000004</v>
      </c>
      <c r="AF428" s="1">
        <f t="shared" si="92"/>
        <v>77.534999999999997</v>
      </c>
    </row>
    <row r="429" spans="1:32" ht="14.25" customHeight="1" x14ac:dyDescent="0.3">
      <c r="A429" s="1" t="s">
        <v>1072</v>
      </c>
      <c r="B429" s="1" t="s">
        <v>211</v>
      </c>
      <c r="C429" s="1" t="s">
        <v>1073</v>
      </c>
      <c r="D429" s="1" t="str">
        <f t="shared" si="80"/>
        <v>Mark Summers</v>
      </c>
      <c r="E429" s="1">
        <v>55</v>
      </c>
      <c r="F429" s="1" t="s">
        <v>34</v>
      </c>
      <c r="G429" s="1" t="s">
        <v>152</v>
      </c>
      <c r="H429" s="1" t="s">
        <v>1074</v>
      </c>
      <c r="I429" s="1" t="s">
        <v>1075</v>
      </c>
      <c r="J429" s="1" t="s">
        <v>1592</v>
      </c>
      <c r="K429" s="2">
        <v>45045</v>
      </c>
      <c r="L429" s="2" t="str">
        <f t="shared" si="81"/>
        <v>April</v>
      </c>
      <c r="M429" s="1" t="s">
        <v>1593</v>
      </c>
      <c r="N429" s="1" t="s">
        <v>107</v>
      </c>
      <c r="O429" s="1">
        <v>48.45</v>
      </c>
      <c r="P429" s="1">
        <v>3</v>
      </c>
      <c r="Q429" s="1">
        <f t="shared" si="82"/>
        <v>145.35000000000002</v>
      </c>
      <c r="R429" s="1" t="s">
        <v>56</v>
      </c>
      <c r="S429" s="1">
        <f t="shared" si="83"/>
        <v>0</v>
      </c>
      <c r="T429" s="1">
        <f t="shared" si="84"/>
        <v>145.35000000000002</v>
      </c>
      <c r="U429" s="1">
        <v>6</v>
      </c>
      <c r="V429" s="1">
        <f t="shared" si="85"/>
        <v>203.35000000000002</v>
      </c>
      <c r="W429" s="1">
        <v>58</v>
      </c>
      <c r="X429" s="2">
        <v>45046</v>
      </c>
      <c r="Y429" s="1" t="s">
        <v>1594</v>
      </c>
      <c r="Z429" s="1">
        <f t="shared" si="86"/>
        <v>203.35000000000002</v>
      </c>
      <c r="AA429" s="1">
        <f t="shared" si="87"/>
        <v>1</v>
      </c>
      <c r="AB429" s="1" t="str">
        <f t="shared" si="88"/>
        <v>BeforeTime</v>
      </c>
      <c r="AC429" s="1">
        <f t="shared" si="89"/>
        <v>145.35000000000002</v>
      </c>
      <c r="AD429" s="7">
        <f t="shared" si="90"/>
        <v>0</v>
      </c>
      <c r="AE429" s="1">
        <f t="shared" si="91"/>
        <v>0</v>
      </c>
      <c r="AF429" s="1">
        <f t="shared" si="92"/>
        <v>0</v>
      </c>
    </row>
    <row r="430" spans="1:32" ht="14.25" customHeight="1" x14ac:dyDescent="0.3">
      <c r="A430" s="1" t="s">
        <v>1607</v>
      </c>
      <c r="B430" s="1" t="s">
        <v>266</v>
      </c>
      <c r="C430" s="1" t="s">
        <v>1608</v>
      </c>
      <c r="D430" s="1" t="str">
        <f t="shared" si="80"/>
        <v>Lauren Crane</v>
      </c>
      <c r="E430" s="1">
        <v>62</v>
      </c>
      <c r="F430" s="1" t="s">
        <v>34</v>
      </c>
      <c r="G430" s="1" t="s">
        <v>35</v>
      </c>
      <c r="H430" s="1" t="s">
        <v>1609</v>
      </c>
      <c r="I430" s="1" t="s">
        <v>1610</v>
      </c>
      <c r="J430" s="1" t="s">
        <v>1705</v>
      </c>
      <c r="K430" s="2">
        <v>45340</v>
      </c>
      <c r="L430" s="2" t="str">
        <f t="shared" si="81"/>
        <v>February</v>
      </c>
      <c r="M430" s="1" t="s">
        <v>1706</v>
      </c>
      <c r="N430" s="1" t="s">
        <v>107</v>
      </c>
      <c r="O430" s="1">
        <v>48.45</v>
      </c>
      <c r="P430" s="1">
        <v>3</v>
      </c>
      <c r="Q430" s="1">
        <f t="shared" si="82"/>
        <v>145.35000000000002</v>
      </c>
      <c r="R430" s="1" t="s">
        <v>51</v>
      </c>
      <c r="S430" s="1">
        <f t="shared" si="83"/>
        <v>21.802500000000002</v>
      </c>
      <c r="T430" s="1">
        <f t="shared" si="84"/>
        <v>123.54750000000001</v>
      </c>
      <c r="U430" s="1">
        <v>5</v>
      </c>
      <c r="V430" s="1">
        <f t="shared" si="85"/>
        <v>165.54750000000001</v>
      </c>
      <c r="W430" s="1">
        <v>42</v>
      </c>
      <c r="X430" s="2">
        <v>45347</v>
      </c>
      <c r="Y430" s="1" t="s">
        <v>1707</v>
      </c>
      <c r="Z430" s="1">
        <f t="shared" si="86"/>
        <v>187.35000000000002</v>
      </c>
      <c r="AA430" s="1">
        <f t="shared" si="87"/>
        <v>7</v>
      </c>
      <c r="AB430" s="1" t="str">
        <f t="shared" si="88"/>
        <v>Late</v>
      </c>
      <c r="AC430" s="1">
        <f t="shared" si="89"/>
        <v>145.35000000000002</v>
      </c>
      <c r="AD430" s="7">
        <f t="shared" si="90"/>
        <v>0.15</v>
      </c>
      <c r="AE430" s="1">
        <f t="shared" si="91"/>
        <v>21.802500000000002</v>
      </c>
      <c r="AF430" s="1">
        <f t="shared" si="92"/>
        <v>63.802500000000002</v>
      </c>
    </row>
    <row r="431" spans="1:32" ht="14.25" customHeight="1" x14ac:dyDescent="0.3">
      <c r="A431" s="1" t="s">
        <v>1231</v>
      </c>
      <c r="B431" s="1" t="s">
        <v>1232</v>
      </c>
      <c r="C431" s="1" t="s">
        <v>1233</v>
      </c>
      <c r="D431" s="1" t="str">
        <f t="shared" si="80"/>
        <v>Hannah Gutierrez</v>
      </c>
      <c r="E431" s="1">
        <v>55</v>
      </c>
      <c r="F431" s="1" t="s">
        <v>34</v>
      </c>
      <c r="G431" s="1" t="s">
        <v>152</v>
      </c>
      <c r="H431" s="1" t="s">
        <v>1234</v>
      </c>
      <c r="I431" s="1" t="s">
        <v>1235</v>
      </c>
      <c r="J431" s="1" t="s">
        <v>2007</v>
      </c>
      <c r="K431" s="2">
        <v>45356</v>
      </c>
      <c r="L431" s="2" t="str">
        <f t="shared" si="81"/>
        <v>March</v>
      </c>
      <c r="M431" s="1" t="s">
        <v>2008</v>
      </c>
      <c r="N431" s="1" t="s">
        <v>107</v>
      </c>
      <c r="O431" s="1">
        <v>48.45</v>
      </c>
      <c r="P431" s="1">
        <v>3</v>
      </c>
      <c r="Q431" s="1">
        <f t="shared" si="82"/>
        <v>145.35000000000002</v>
      </c>
      <c r="R431" s="1" t="s">
        <v>78</v>
      </c>
      <c r="S431" s="1">
        <f t="shared" si="83"/>
        <v>29.070000000000007</v>
      </c>
      <c r="T431" s="1">
        <f t="shared" si="84"/>
        <v>116.28000000000002</v>
      </c>
      <c r="U431" s="1">
        <v>6</v>
      </c>
      <c r="V431" s="1">
        <f t="shared" si="85"/>
        <v>159.28000000000003</v>
      </c>
      <c r="W431" s="1">
        <v>43</v>
      </c>
      <c r="X431" s="2">
        <v>45358</v>
      </c>
      <c r="Y431" s="1" t="s">
        <v>2009</v>
      </c>
      <c r="Z431" s="1">
        <f t="shared" si="86"/>
        <v>188.35000000000002</v>
      </c>
      <c r="AA431" s="1">
        <f t="shared" si="87"/>
        <v>2</v>
      </c>
      <c r="AB431" s="1" t="str">
        <f t="shared" si="88"/>
        <v>BeforeTime</v>
      </c>
      <c r="AC431" s="1">
        <f t="shared" si="89"/>
        <v>145.35000000000002</v>
      </c>
      <c r="AD431" s="7">
        <f t="shared" si="90"/>
        <v>0.2</v>
      </c>
      <c r="AE431" s="1">
        <f t="shared" si="91"/>
        <v>29.070000000000007</v>
      </c>
      <c r="AF431" s="1">
        <f t="shared" si="92"/>
        <v>72.070000000000007</v>
      </c>
    </row>
    <row r="432" spans="1:32" ht="14.25" customHeight="1" x14ac:dyDescent="0.3">
      <c r="A432" s="1" t="s">
        <v>386</v>
      </c>
      <c r="B432" s="1" t="s">
        <v>387</v>
      </c>
      <c r="C432" s="1" t="s">
        <v>388</v>
      </c>
      <c r="D432" s="1" t="str">
        <f t="shared" si="80"/>
        <v>Jason Lopez</v>
      </c>
      <c r="E432" s="1">
        <v>40</v>
      </c>
      <c r="F432" s="1" t="s">
        <v>45</v>
      </c>
      <c r="G432" s="1" t="s">
        <v>161</v>
      </c>
      <c r="H432" s="1" t="s">
        <v>389</v>
      </c>
      <c r="I432" s="1" t="s">
        <v>390</v>
      </c>
      <c r="J432" s="1" t="s">
        <v>786</v>
      </c>
      <c r="K432" s="2">
        <v>45186</v>
      </c>
      <c r="L432" s="2" t="str">
        <f t="shared" si="81"/>
        <v>September</v>
      </c>
      <c r="M432" s="1" t="s">
        <v>787</v>
      </c>
      <c r="N432" s="1" t="s">
        <v>507</v>
      </c>
      <c r="O432" s="1">
        <v>136.30000000000001</v>
      </c>
      <c r="P432" s="1">
        <v>1</v>
      </c>
      <c r="Q432" s="1">
        <f t="shared" si="82"/>
        <v>136.30000000000001</v>
      </c>
      <c r="R432" s="1" t="s">
        <v>78</v>
      </c>
      <c r="S432" s="1">
        <f t="shared" si="83"/>
        <v>27.260000000000005</v>
      </c>
      <c r="T432" s="1">
        <f t="shared" si="84"/>
        <v>109.04</v>
      </c>
      <c r="U432" s="1">
        <v>4</v>
      </c>
      <c r="V432" s="1">
        <f t="shared" si="85"/>
        <v>150.04000000000002</v>
      </c>
      <c r="W432" s="1">
        <v>41</v>
      </c>
      <c r="X432" s="2">
        <v>45189</v>
      </c>
      <c r="Y432" s="1" t="s">
        <v>788</v>
      </c>
      <c r="Z432" s="1">
        <f t="shared" si="86"/>
        <v>177.3</v>
      </c>
      <c r="AA432" s="1">
        <f t="shared" si="87"/>
        <v>3</v>
      </c>
      <c r="AB432" s="1" t="str">
        <f t="shared" si="88"/>
        <v>BeforeTime</v>
      </c>
      <c r="AC432" s="1">
        <f t="shared" si="89"/>
        <v>136.30000000000001</v>
      </c>
      <c r="AD432" s="7">
        <f t="shared" si="90"/>
        <v>0.2</v>
      </c>
      <c r="AE432" s="1">
        <f t="shared" si="91"/>
        <v>27.260000000000005</v>
      </c>
      <c r="AF432" s="1">
        <f t="shared" si="92"/>
        <v>68.260000000000005</v>
      </c>
    </row>
    <row r="433" spans="1:32" ht="14.25" customHeight="1" x14ac:dyDescent="0.3">
      <c r="A433" s="1" t="s">
        <v>743</v>
      </c>
      <c r="B433" s="1" t="s">
        <v>744</v>
      </c>
      <c r="C433" s="1" t="s">
        <v>745</v>
      </c>
      <c r="D433" s="1" t="str">
        <f t="shared" si="80"/>
        <v>Barbara Fuller</v>
      </c>
      <c r="E433" s="1">
        <v>43</v>
      </c>
      <c r="F433" s="1" t="s">
        <v>45</v>
      </c>
      <c r="G433" s="1" t="s">
        <v>152</v>
      </c>
      <c r="H433" s="1" t="s">
        <v>746</v>
      </c>
      <c r="I433" s="1" t="s">
        <v>747</v>
      </c>
      <c r="J433" s="1" t="s">
        <v>906</v>
      </c>
      <c r="K433" s="2">
        <v>45291</v>
      </c>
      <c r="L433" s="2" t="str">
        <f t="shared" si="81"/>
        <v>December</v>
      </c>
      <c r="M433" s="1" t="s">
        <v>907</v>
      </c>
      <c r="N433" s="1" t="s">
        <v>507</v>
      </c>
      <c r="O433" s="1">
        <v>136.30000000000001</v>
      </c>
      <c r="P433" s="1">
        <v>1</v>
      </c>
      <c r="Q433" s="1">
        <f t="shared" si="82"/>
        <v>136.30000000000001</v>
      </c>
      <c r="R433" s="1" t="s">
        <v>51</v>
      </c>
      <c r="S433" s="1">
        <f t="shared" si="83"/>
        <v>20.445</v>
      </c>
      <c r="T433" s="1">
        <f t="shared" si="84"/>
        <v>115.85500000000002</v>
      </c>
      <c r="U433" s="1">
        <v>1</v>
      </c>
      <c r="V433" s="1">
        <f t="shared" si="85"/>
        <v>179.85500000000002</v>
      </c>
      <c r="W433" s="1">
        <v>64</v>
      </c>
      <c r="X433" s="2">
        <v>45296</v>
      </c>
      <c r="Y433" s="1" t="s">
        <v>908</v>
      </c>
      <c r="Z433" s="1">
        <f t="shared" si="86"/>
        <v>200.3</v>
      </c>
      <c r="AA433" s="1">
        <f t="shared" si="87"/>
        <v>5</v>
      </c>
      <c r="AB433" s="1" t="str">
        <f t="shared" si="88"/>
        <v>Late</v>
      </c>
      <c r="AC433" s="1">
        <f t="shared" si="89"/>
        <v>136.30000000000001</v>
      </c>
      <c r="AD433" s="7">
        <f t="shared" si="90"/>
        <v>0.15</v>
      </c>
      <c r="AE433" s="1">
        <f t="shared" si="91"/>
        <v>20.445</v>
      </c>
      <c r="AF433" s="1">
        <f t="shared" si="92"/>
        <v>84.444999999999993</v>
      </c>
    </row>
    <row r="434" spans="1:32" ht="14.25" customHeight="1" x14ac:dyDescent="0.3">
      <c r="A434" s="1" t="s">
        <v>639</v>
      </c>
      <c r="B434" s="1" t="s">
        <v>640</v>
      </c>
      <c r="C434" s="1" t="s">
        <v>641</v>
      </c>
      <c r="D434" s="1" t="str">
        <f t="shared" si="80"/>
        <v>Beth Mason</v>
      </c>
      <c r="E434" s="1">
        <v>45</v>
      </c>
      <c r="F434" s="1" t="s">
        <v>45</v>
      </c>
      <c r="G434" s="1" t="s">
        <v>83</v>
      </c>
      <c r="H434" s="1" t="s">
        <v>642</v>
      </c>
      <c r="I434" s="1" t="s">
        <v>643</v>
      </c>
      <c r="J434" s="1" t="s">
        <v>1807</v>
      </c>
      <c r="K434" s="2">
        <v>44987</v>
      </c>
      <c r="L434" s="2" t="str">
        <f t="shared" si="81"/>
        <v>March</v>
      </c>
      <c r="M434" s="1" t="s">
        <v>1808</v>
      </c>
      <c r="N434" s="1" t="s">
        <v>507</v>
      </c>
      <c r="O434" s="1">
        <v>136.30000000000001</v>
      </c>
      <c r="P434" s="1">
        <v>1</v>
      </c>
      <c r="Q434" s="1">
        <f t="shared" si="82"/>
        <v>136.30000000000001</v>
      </c>
      <c r="R434" s="1" t="s">
        <v>29</v>
      </c>
      <c r="S434" s="1">
        <f t="shared" si="83"/>
        <v>10.904000000000002</v>
      </c>
      <c r="T434" s="1">
        <f t="shared" si="84"/>
        <v>125.39600000000002</v>
      </c>
      <c r="U434" s="1">
        <v>4</v>
      </c>
      <c r="V434" s="1">
        <f t="shared" si="85"/>
        <v>166.39600000000002</v>
      </c>
      <c r="W434" s="1">
        <v>41</v>
      </c>
      <c r="X434" s="2">
        <v>44988</v>
      </c>
      <c r="Y434" s="1" t="s">
        <v>1809</v>
      </c>
      <c r="Z434" s="1">
        <f t="shared" si="86"/>
        <v>177.3</v>
      </c>
      <c r="AA434" s="1">
        <f t="shared" si="87"/>
        <v>1</v>
      </c>
      <c r="AB434" s="1" t="str">
        <f t="shared" si="88"/>
        <v>BeforeTime</v>
      </c>
      <c r="AC434" s="1">
        <f t="shared" si="89"/>
        <v>136.30000000000001</v>
      </c>
      <c r="AD434" s="7">
        <f t="shared" si="90"/>
        <v>0.08</v>
      </c>
      <c r="AE434" s="1">
        <f t="shared" si="91"/>
        <v>10.904000000000002</v>
      </c>
      <c r="AF434" s="1">
        <f t="shared" si="92"/>
        <v>51.904000000000003</v>
      </c>
    </row>
    <row r="435" spans="1:32" ht="14.25" customHeight="1" x14ac:dyDescent="0.3">
      <c r="A435" s="1" t="s">
        <v>1203</v>
      </c>
      <c r="B435" s="1" t="s">
        <v>1204</v>
      </c>
      <c r="C435" s="1" t="s">
        <v>1205</v>
      </c>
      <c r="D435" s="1" t="str">
        <f t="shared" si="80"/>
        <v>Brendan Kelly</v>
      </c>
      <c r="E435" s="1">
        <v>50</v>
      </c>
      <c r="F435" s="1" t="s">
        <v>45</v>
      </c>
      <c r="G435" s="1" t="s">
        <v>161</v>
      </c>
      <c r="H435" s="1" t="s">
        <v>1206</v>
      </c>
      <c r="I435" s="1" t="s">
        <v>1207</v>
      </c>
      <c r="J435" s="1" t="s">
        <v>1515</v>
      </c>
      <c r="K435" s="2">
        <v>45289</v>
      </c>
      <c r="L435" s="2" t="str">
        <f t="shared" si="81"/>
        <v>December</v>
      </c>
      <c r="M435" s="1" t="s">
        <v>1516</v>
      </c>
      <c r="N435" s="1" t="s">
        <v>977</v>
      </c>
      <c r="O435" s="1">
        <v>33.49</v>
      </c>
      <c r="P435" s="1">
        <v>4</v>
      </c>
      <c r="Q435" s="1">
        <f t="shared" si="82"/>
        <v>133.96</v>
      </c>
      <c r="R435" s="1" t="s">
        <v>51</v>
      </c>
      <c r="S435" s="1">
        <f t="shared" si="83"/>
        <v>20.094000000000001</v>
      </c>
      <c r="T435" s="1">
        <f t="shared" si="84"/>
        <v>113.86600000000001</v>
      </c>
      <c r="U435" s="1">
        <v>4</v>
      </c>
      <c r="V435" s="1">
        <f t="shared" si="85"/>
        <v>180.86600000000001</v>
      </c>
      <c r="W435" s="1">
        <v>67</v>
      </c>
      <c r="X435" s="2">
        <v>45294</v>
      </c>
      <c r="Y435" s="1" t="s">
        <v>1517</v>
      </c>
      <c r="Z435" s="1">
        <f t="shared" si="86"/>
        <v>200.96</v>
      </c>
      <c r="AA435" s="1">
        <f t="shared" si="87"/>
        <v>5</v>
      </c>
      <c r="AB435" s="1" t="str">
        <f t="shared" si="88"/>
        <v>Late</v>
      </c>
      <c r="AC435" s="1">
        <f t="shared" si="89"/>
        <v>133.96</v>
      </c>
      <c r="AD435" s="7">
        <f t="shared" si="90"/>
        <v>0.15</v>
      </c>
      <c r="AE435" s="1">
        <f t="shared" si="91"/>
        <v>20.094000000000001</v>
      </c>
      <c r="AF435" s="1">
        <f t="shared" si="92"/>
        <v>87.093999999999994</v>
      </c>
    </row>
    <row r="436" spans="1:32" ht="14.25" customHeight="1" x14ac:dyDescent="0.3">
      <c r="A436" s="1" t="s">
        <v>568</v>
      </c>
      <c r="B436" s="1" t="s">
        <v>249</v>
      </c>
      <c r="C436" s="1" t="s">
        <v>569</v>
      </c>
      <c r="D436" s="1" t="str">
        <f t="shared" si="80"/>
        <v>Ashley Romero</v>
      </c>
      <c r="E436" s="1">
        <v>35</v>
      </c>
      <c r="F436" s="1" t="s">
        <v>22</v>
      </c>
      <c r="G436" s="1" t="s">
        <v>23</v>
      </c>
      <c r="H436" s="1" t="s">
        <v>570</v>
      </c>
      <c r="I436" s="1" t="s">
        <v>571</v>
      </c>
      <c r="J436" s="1" t="s">
        <v>2016</v>
      </c>
      <c r="K436" s="2">
        <v>45007</v>
      </c>
      <c r="L436" s="2" t="str">
        <f t="shared" si="81"/>
        <v>March</v>
      </c>
      <c r="M436" s="1" t="s">
        <v>2017</v>
      </c>
      <c r="N436" s="1" t="s">
        <v>977</v>
      </c>
      <c r="O436" s="1">
        <v>33.49</v>
      </c>
      <c r="P436" s="1">
        <v>4</v>
      </c>
      <c r="Q436" s="1">
        <f t="shared" si="82"/>
        <v>133.96</v>
      </c>
      <c r="R436" s="1" t="s">
        <v>78</v>
      </c>
      <c r="S436" s="1">
        <f t="shared" si="83"/>
        <v>26.792000000000002</v>
      </c>
      <c r="T436" s="1">
        <f t="shared" si="84"/>
        <v>107.16800000000001</v>
      </c>
      <c r="U436" s="1">
        <v>7</v>
      </c>
      <c r="V436" s="1">
        <f t="shared" si="85"/>
        <v>161.16800000000001</v>
      </c>
      <c r="W436" s="1">
        <v>54</v>
      </c>
      <c r="X436" s="2">
        <v>45008</v>
      </c>
      <c r="Y436" s="1" t="s">
        <v>2018</v>
      </c>
      <c r="Z436" s="1">
        <f t="shared" si="86"/>
        <v>187.96</v>
      </c>
      <c r="AA436" s="1">
        <f t="shared" si="87"/>
        <v>1</v>
      </c>
      <c r="AB436" s="1" t="str">
        <f t="shared" si="88"/>
        <v>BeforeTime</v>
      </c>
      <c r="AC436" s="1">
        <f t="shared" si="89"/>
        <v>133.96</v>
      </c>
      <c r="AD436" s="7">
        <f t="shared" si="90"/>
        <v>0.2</v>
      </c>
      <c r="AE436" s="1">
        <f t="shared" si="91"/>
        <v>26.792000000000002</v>
      </c>
      <c r="AF436" s="1">
        <f t="shared" si="92"/>
        <v>80.792000000000002</v>
      </c>
    </row>
    <row r="437" spans="1:32" ht="14.25" customHeight="1" x14ac:dyDescent="0.3">
      <c r="A437" s="1" t="s">
        <v>1184</v>
      </c>
      <c r="B437" s="1" t="s">
        <v>33</v>
      </c>
      <c r="C437" s="1" t="s">
        <v>1185</v>
      </c>
      <c r="D437" s="1" t="str">
        <f t="shared" si="80"/>
        <v>Thomas Owens</v>
      </c>
      <c r="E437" s="1">
        <v>34</v>
      </c>
      <c r="F437" s="1" t="s">
        <v>45</v>
      </c>
      <c r="G437" s="1" t="s">
        <v>213</v>
      </c>
      <c r="H437" s="1" t="s">
        <v>1186</v>
      </c>
      <c r="I437" s="1" t="s">
        <v>1187</v>
      </c>
      <c r="J437" s="1" t="s">
        <v>1188</v>
      </c>
      <c r="K437" s="2">
        <v>45595</v>
      </c>
      <c r="L437" s="2" t="str">
        <f t="shared" si="81"/>
        <v>October</v>
      </c>
      <c r="M437" s="1" t="s">
        <v>1189</v>
      </c>
      <c r="N437" s="1" t="s">
        <v>556</v>
      </c>
      <c r="O437" s="1">
        <v>133.62</v>
      </c>
      <c r="P437" s="1">
        <v>1</v>
      </c>
      <c r="Q437" s="1">
        <f t="shared" si="82"/>
        <v>133.62</v>
      </c>
      <c r="R437" s="1" t="s">
        <v>29</v>
      </c>
      <c r="S437" s="1">
        <f t="shared" si="83"/>
        <v>10.6896</v>
      </c>
      <c r="T437" s="1">
        <f t="shared" si="84"/>
        <v>122.93040000000001</v>
      </c>
      <c r="U437" s="1">
        <v>1</v>
      </c>
      <c r="V437" s="1">
        <f t="shared" si="85"/>
        <v>179.93040000000002</v>
      </c>
      <c r="W437" s="1">
        <v>57</v>
      </c>
      <c r="X437" s="2">
        <v>45602</v>
      </c>
      <c r="Y437" s="1" t="s">
        <v>1190</v>
      </c>
      <c r="Z437" s="1">
        <f t="shared" si="86"/>
        <v>190.62</v>
      </c>
      <c r="AA437" s="1">
        <f t="shared" si="87"/>
        <v>7</v>
      </c>
      <c r="AB437" s="1" t="str">
        <f t="shared" si="88"/>
        <v>Late</v>
      </c>
      <c r="AC437" s="1">
        <f t="shared" si="89"/>
        <v>133.62</v>
      </c>
      <c r="AD437" s="7">
        <f t="shared" si="90"/>
        <v>0.08</v>
      </c>
      <c r="AE437" s="1">
        <f t="shared" si="91"/>
        <v>10.6896</v>
      </c>
      <c r="AF437" s="1">
        <f t="shared" si="92"/>
        <v>67.689599999999999</v>
      </c>
    </row>
    <row r="438" spans="1:32" ht="14.25" customHeight="1" x14ac:dyDescent="0.3">
      <c r="A438" s="1" t="s">
        <v>639</v>
      </c>
      <c r="B438" s="1" t="s">
        <v>640</v>
      </c>
      <c r="C438" s="1" t="s">
        <v>641</v>
      </c>
      <c r="D438" s="1" t="str">
        <f t="shared" si="80"/>
        <v>Beth Mason</v>
      </c>
      <c r="E438" s="1">
        <v>45</v>
      </c>
      <c r="F438" s="1" t="s">
        <v>45</v>
      </c>
      <c r="G438" s="1" t="s">
        <v>83</v>
      </c>
      <c r="H438" s="1" t="s">
        <v>642</v>
      </c>
      <c r="I438" s="1" t="s">
        <v>643</v>
      </c>
      <c r="J438" s="1" t="s">
        <v>1644</v>
      </c>
      <c r="K438" s="2">
        <v>45446</v>
      </c>
      <c r="L438" s="2" t="str">
        <f t="shared" si="81"/>
        <v>June</v>
      </c>
      <c r="M438" s="1" t="s">
        <v>1645</v>
      </c>
      <c r="N438" s="1" t="s">
        <v>556</v>
      </c>
      <c r="O438" s="1">
        <v>133.62</v>
      </c>
      <c r="P438" s="1">
        <v>1</v>
      </c>
      <c r="Q438" s="1">
        <f t="shared" si="82"/>
        <v>133.62</v>
      </c>
      <c r="R438" s="1" t="s">
        <v>51</v>
      </c>
      <c r="S438" s="1">
        <f t="shared" si="83"/>
        <v>20.042999999999999</v>
      </c>
      <c r="T438" s="1">
        <f t="shared" si="84"/>
        <v>113.577</v>
      </c>
      <c r="U438" s="1">
        <v>5</v>
      </c>
      <c r="V438" s="1">
        <f t="shared" si="85"/>
        <v>152.577</v>
      </c>
      <c r="W438" s="1">
        <v>39</v>
      </c>
      <c r="X438" s="2">
        <v>45451</v>
      </c>
      <c r="Y438" s="1" t="s">
        <v>1646</v>
      </c>
      <c r="Z438" s="1">
        <f t="shared" si="86"/>
        <v>172.62</v>
      </c>
      <c r="AA438" s="1">
        <f t="shared" si="87"/>
        <v>5</v>
      </c>
      <c r="AB438" s="1" t="str">
        <f t="shared" si="88"/>
        <v>Intime</v>
      </c>
      <c r="AC438" s="1">
        <f t="shared" si="89"/>
        <v>133.62</v>
      </c>
      <c r="AD438" s="7">
        <f t="shared" si="90"/>
        <v>0.15</v>
      </c>
      <c r="AE438" s="1">
        <f t="shared" si="91"/>
        <v>20.042999999999999</v>
      </c>
      <c r="AF438" s="1">
        <f t="shared" si="92"/>
        <v>59.042999999999999</v>
      </c>
    </row>
    <row r="439" spans="1:32" ht="14.25" customHeight="1" x14ac:dyDescent="0.3">
      <c r="A439" s="1" t="s">
        <v>386</v>
      </c>
      <c r="B439" s="1" t="s">
        <v>387</v>
      </c>
      <c r="C439" s="1" t="s">
        <v>388</v>
      </c>
      <c r="D439" s="1" t="str">
        <f t="shared" si="80"/>
        <v>Jason Lopez</v>
      </c>
      <c r="E439" s="1">
        <v>40</v>
      </c>
      <c r="F439" s="1" t="s">
        <v>45</v>
      </c>
      <c r="G439" s="1" t="s">
        <v>161</v>
      </c>
      <c r="H439" s="1" t="s">
        <v>389</v>
      </c>
      <c r="I439" s="1" t="s">
        <v>390</v>
      </c>
      <c r="J439" s="1" t="s">
        <v>1727</v>
      </c>
      <c r="K439" s="2">
        <v>45033</v>
      </c>
      <c r="L439" s="2" t="str">
        <f t="shared" si="81"/>
        <v>April</v>
      </c>
      <c r="M439" s="1" t="s">
        <v>1728</v>
      </c>
      <c r="N439" s="1" t="s">
        <v>556</v>
      </c>
      <c r="O439" s="1">
        <v>133.62</v>
      </c>
      <c r="P439" s="1">
        <v>1</v>
      </c>
      <c r="Q439" s="1">
        <f t="shared" si="82"/>
        <v>133.62</v>
      </c>
      <c r="R439" s="1" t="s">
        <v>51</v>
      </c>
      <c r="S439" s="1">
        <f t="shared" si="83"/>
        <v>20.042999999999999</v>
      </c>
      <c r="T439" s="1">
        <f t="shared" si="84"/>
        <v>113.577</v>
      </c>
      <c r="U439" s="1">
        <v>5</v>
      </c>
      <c r="V439" s="1">
        <f t="shared" si="85"/>
        <v>179.577</v>
      </c>
      <c r="W439" s="1">
        <v>66</v>
      </c>
      <c r="X439" s="2">
        <v>45037</v>
      </c>
      <c r="Y439" s="1" t="s">
        <v>1729</v>
      </c>
      <c r="Z439" s="1">
        <f t="shared" si="86"/>
        <v>199.62</v>
      </c>
      <c r="AA439" s="1">
        <f t="shared" si="87"/>
        <v>4</v>
      </c>
      <c r="AB439" s="1" t="str">
        <f t="shared" si="88"/>
        <v>BeforeTime</v>
      </c>
      <c r="AC439" s="1">
        <f t="shared" si="89"/>
        <v>133.62</v>
      </c>
      <c r="AD439" s="7">
        <f t="shared" si="90"/>
        <v>0.15</v>
      </c>
      <c r="AE439" s="1">
        <f t="shared" si="91"/>
        <v>20.042999999999999</v>
      </c>
      <c r="AF439" s="1">
        <f t="shared" si="92"/>
        <v>86.043000000000006</v>
      </c>
    </row>
    <row r="440" spans="1:32" ht="14.25" customHeight="1" x14ac:dyDescent="0.3">
      <c r="A440" s="1" t="s">
        <v>273</v>
      </c>
      <c r="B440" s="1" t="s">
        <v>274</v>
      </c>
      <c r="C440" s="1" t="s">
        <v>275</v>
      </c>
      <c r="D440" s="1" t="str">
        <f t="shared" si="80"/>
        <v>Teresa Harvey</v>
      </c>
      <c r="E440" s="1">
        <v>64</v>
      </c>
      <c r="F440" s="1" t="s">
        <v>45</v>
      </c>
      <c r="G440" s="1" t="s">
        <v>23</v>
      </c>
      <c r="H440" s="1" t="s">
        <v>276</v>
      </c>
      <c r="I440" s="1" t="s">
        <v>277</v>
      </c>
      <c r="J440" s="1" t="s">
        <v>884</v>
      </c>
      <c r="K440" s="2">
        <v>44989</v>
      </c>
      <c r="L440" s="2" t="str">
        <f t="shared" si="81"/>
        <v>March</v>
      </c>
      <c r="M440" s="1" t="s">
        <v>885</v>
      </c>
      <c r="N440" s="1" t="s">
        <v>411</v>
      </c>
      <c r="O440" s="1">
        <v>44.5</v>
      </c>
      <c r="P440" s="1">
        <v>3</v>
      </c>
      <c r="Q440" s="1">
        <f t="shared" si="82"/>
        <v>133.5</v>
      </c>
      <c r="R440" s="1" t="s">
        <v>29</v>
      </c>
      <c r="S440" s="1">
        <f t="shared" si="83"/>
        <v>10.68</v>
      </c>
      <c r="T440" s="1">
        <f t="shared" si="84"/>
        <v>122.82</v>
      </c>
      <c r="U440" s="1">
        <v>6</v>
      </c>
      <c r="V440" s="1">
        <f t="shared" si="85"/>
        <v>168.82</v>
      </c>
      <c r="W440" s="1">
        <v>46</v>
      </c>
      <c r="X440" s="2">
        <v>44991</v>
      </c>
      <c r="Y440" s="1" t="s">
        <v>886</v>
      </c>
      <c r="Z440" s="1">
        <f t="shared" si="86"/>
        <v>179.5</v>
      </c>
      <c r="AA440" s="1">
        <f t="shared" si="87"/>
        <v>2</v>
      </c>
      <c r="AB440" s="1" t="str">
        <f t="shared" si="88"/>
        <v>BeforeTime</v>
      </c>
      <c r="AC440" s="1">
        <f t="shared" si="89"/>
        <v>133.5</v>
      </c>
      <c r="AD440" s="7">
        <f t="shared" si="90"/>
        <v>0.08</v>
      </c>
      <c r="AE440" s="1">
        <f t="shared" si="91"/>
        <v>10.68</v>
      </c>
      <c r="AF440" s="1">
        <f t="shared" si="92"/>
        <v>56.68</v>
      </c>
    </row>
    <row r="441" spans="1:32" ht="14.25" customHeight="1" x14ac:dyDescent="0.3">
      <c r="A441" s="1" t="s">
        <v>58</v>
      </c>
      <c r="B441" s="1" t="s">
        <v>59</v>
      </c>
      <c r="C441" s="1" t="s">
        <v>60</v>
      </c>
      <c r="D441" s="1" t="str">
        <f t="shared" si="80"/>
        <v>Angela Horne</v>
      </c>
      <c r="E441" s="1">
        <v>49</v>
      </c>
      <c r="F441" s="1" t="s">
        <v>45</v>
      </c>
      <c r="G441" s="1" t="s">
        <v>23</v>
      </c>
      <c r="H441" s="1" t="s">
        <v>61</v>
      </c>
      <c r="I441" s="1" t="s">
        <v>62</v>
      </c>
      <c r="J441" s="1" t="s">
        <v>1954</v>
      </c>
      <c r="K441" s="2">
        <v>45377</v>
      </c>
      <c r="L441" s="2" t="str">
        <f t="shared" si="81"/>
        <v>March</v>
      </c>
      <c r="M441" s="1" t="s">
        <v>1955</v>
      </c>
      <c r="N441" s="1" t="s">
        <v>411</v>
      </c>
      <c r="O441" s="1">
        <v>44.5</v>
      </c>
      <c r="P441" s="1">
        <v>3</v>
      </c>
      <c r="Q441" s="1">
        <f t="shared" si="82"/>
        <v>133.5</v>
      </c>
      <c r="R441" s="1" t="s">
        <v>78</v>
      </c>
      <c r="S441" s="1">
        <f t="shared" si="83"/>
        <v>26.700000000000003</v>
      </c>
      <c r="T441" s="1">
        <f t="shared" si="84"/>
        <v>106.8</v>
      </c>
      <c r="U441" s="1">
        <v>7</v>
      </c>
      <c r="V441" s="1">
        <f t="shared" si="85"/>
        <v>146.80000000000001</v>
      </c>
      <c r="W441" s="1">
        <v>40</v>
      </c>
      <c r="X441" s="2">
        <v>45382</v>
      </c>
      <c r="Y441" s="1" t="s">
        <v>1956</v>
      </c>
      <c r="Z441" s="1">
        <f t="shared" si="86"/>
        <v>173.5</v>
      </c>
      <c r="AA441" s="1">
        <f t="shared" si="87"/>
        <v>5</v>
      </c>
      <c r="AB441" s="1" t="str">
        <f t="shared" si="88"/>
        <v>BeforeTime</v>
      </c>
      <c r="AC441" s="1">
        <f t="shared" si="89"/>
        <v>133.5</v>
      </c>
      <c r="AD441" s="7">
        <f t="shared" si="90"/>
        <v>0.2</v>
      </c>
      <c r="AE441" s="1">
        <f t="shared" si="91"/>
        <v>26.700000000000003</v>
      </c>
      <c r="AF441" s="1">
        <f t="shared" si="92"/>
        <v>66.7</v>
      </c>
    </row>
    <row r="442" spans="1:32" ht="14.25" customHeight="1" x14ac:dyDescent="0.3">
      <c r="A442" s="1" t="s">
        <v>220</v>
      </c>
      <c r="B442" s="1" t="s">
        <v>221</v>
      </c>
      <c r="C442" s="1" t="s">
        <v>222</v>
      </c>
      <c r="D442" s="1" t="str">
        <f t="shared" si="80"/>
        <v>John Herrera</v>
      </c>
      <c r="E442" s="1">
        <v>64</v>
      </c>
      <c r="F442" s="1" t="s">
        <v>34</v>
      </c>
      <c r="G442" s="1" t="s">
        <v>35</v>
      </c>
      <c r="H442" s="1" t="s">
        <v>223</v>
      </c>
      <c r="I442" s="1" t="s">
        <v>224</v>
      </c>
      <c r="J442" s="1" t="s">
        <v>225</v>
      </c>
      <c r="K442" s="2">
        <v>45194</v>
      </c>
      <c r="L442" s="2" t="str">
        <f t="shared" si="81"/>
        <v>September</v>
      </c>
      <c r="M442" s="1" t="s">
        <v>226</v>
      </c>
      <c r="N442" s="1" t="s">
        <v>227</v>
      </c>
      <c r="O442" s="1">
        <v>132.97</v>
      </c>
      <c r="P442" s="1">
        <v>1</v>
      </c>
      <c r="Q442" s="1">
        <f t="shared" si="82"/>
        <v>132.97</v>
      </c>
      <c r="R442" s="1" t="s">
        <v>51</v>
      </c>
      <c r="S442" s="1">
        <f t="shared" si="83"/>
        <v>19.945499999999999</v>
      </c>
      <c r="T442" s="1">
        <f t="shared" si="84"/>
        <v>113.0245</v>
      </c>
      <c r="U442" s="1">
        <v>4</v>
      </c>
      <c r="V442" s="1">
        <f t="shared" si="85"/>
        <v>168.02449999999999</v>
      </c>
      <c r="W442" s="1">
        <v>55</v>
      </c>
      <c r="X442" s="2">
        <v>45198</v>
      </c>
      <c r="Y442" s="1" t="s">
        <v>228</v>
      </c>
      <c r="Z442" s="1">
        <f t="shared" si="86"/>
        <v>187.97</v>
      </c>
      <c r="AA442" s="1">
        <f t="shared" si="87"/>
        <v>4</v>
      </c>
      <c r="AB442" s="1" t="str">
        <f t="shared" si="88"/>
        <v>Intime</v>
      </c>
      <c r="AC442" s="1">
        <f t="shared" si="89"/>
        <v>132.97</v>
      </c>
      <c r="AD442" s="7">
        <f t="shared" si="90"/>
        <v>0.15</v>
      </c>
      <c r="AE442" s="1">
        <f t="shared" si="91"/>
        <v>19.945499999999999</v>
      </c>
      <c r="AF442" s="1">
        <f t="shared" si="92"/>
        <v>74.945499999999996</v>
      </c>
    </row>
    <row r="443" spans="1:32" ht="14.25" customHeight="1" x14ac:dyDescent="0.3">
      <c r="A443" s="1" t="s">
        <v>265</v>
      </c>
      <c r="B443" s="1" t="s">
        <v>266</v>
      </c>
      <c r="C443" s="1" t="s">
        <v>267</v>
      </c>
      <c r="D443" s="1" t="str">
        <f t="shared" si="80"/>
        <v>Lauren Long</v>
      </c>
      <c r="E443" s="1">
        <v>44</v>
      </c>
      <c r="F443" s="1" t="s">
        <v>22</v>
      </c>
      <c r="G443" s="1" t="s">
        <v>213</v>
      </c>
      <c r="H443" s="1" t="s">
        <v>268</v>
      </c>
      <c r="I443" s="1" t="s">
        <v>269</v>
      </c>
      <c r="J443" s="1" t="s">
        <v>270</v>
      </c>
      <c r="K443" s="2">
        <v>45389</v>
      </c>
      <c r="L443" s="2" t="str">
        <f t="shared" si="81"/>
        <v>April</v>
      </c>
      <c r="M443" s="1" t="s">
        <v>271</v>
      </c>
      <c r="N443" s="1" t="s">
        <v>227</v>
      </c>
      <c r="O443" s="1">
        <v>132.97</v>
      </c>
      <c r="P443" s="1">
        <v>1</v>
      </c>
      <c r="Q443" s="1">
        <f t="shared" si="82"/>
        <v>132.97</v>
      </c>
      <c r="R443" s="1" t="s">
        <v>56</v>
      </c>
      <c r="S443" s="1">
        <f t="shared" si="83"/>
        <v>0</v>
      </c>
      <c r="T443" s="1">
        <f t="shared" si="84"/>
        <v>132.97</v>
      </c>
      <c r="U443" s="1">
        <v>6</v>
      </c>
      <c r="V443" s="1">
        <f t="shared" si="85"/>
        <v>189.97</v>
      </c>
      <c r="W443" s="1">
        <v>57</v>
      </c>
      <c r="X443" s="2">
        <v>45396</v>
      </c>
      <c r="Y443" s="1" t="s">
        <v>272</v>
      </c>
      <c r="Z443" s="1">
        <f t="shared" si="86"/>
        <v>189.97</v>
      </c>
      <c r="AA443" s="1">
        <f t="shared" si="87"/>
        <v>7</v>
      </c>
      <c r="AB443" s="1" t="str">
        <f t="shared" si="88"/>
        <v>Late</v>
      </c>
      <c r="AC443" s="1">
        <f t="shared" si="89"/>
        <v>132.97</v>
      </c>
      <c r="AD443" s="7">
        <f t="shared" si="90"/>
        <v>0</v>
      </c>
      <c r="AE443" s="1">
        <f t="shared" si="91"/>
        <v>0</v>
      </c>
      <c r="AF443" s="1">
        <f t="shared" si="92"/>
        <v>0</v>
      </c>
    </row>
    <row r="444" spans="1:32" ht="14.25" customHeight="1" x14ac:dyDescent="0.3">
      <c r="A444" s="1" t="s">
        <v>1730</v>
      </c>
      <c r="B444" s="1" t="s">
        <v>1731</v>
      </c>
      <c r="C444" s="1" t="s">
        <v>1732</v>
      </c>
      <c r="D444" s="1" t="str">
        <f t="shared" si="80"/>
        <v>Regina Hawkins</v>
      </c>
      <c r="E444" s="1">
        <v>47</v>
      </c>
      <c r="F444" s="1" t="s">
        <v>34</v>
      </c>
      <c r="G444" s="1" t="s">
        <v>23</v>
      </c>
      <c r="H444" s="1" t="s">
        <v>1733</v>
      </c>
      <c r="I444" s="1" t="s">
        <v>1734</v>
      </c>
      <c r="J444" s="1" t="s">
        <v>1919</v>
      </c>
      <c r="K444" s="2">
        <v>45183</v>
      </c>
      <c r="L444" s="2" t="str">
        <f t="shared" si="81"/>
        <v>September</v>
      </c>
      <c r="M444" s="1" t="s">
        <v>1920</v>
      </c>
      <c r="N444" s="1" t="s">
        <v>227</v>
      </c>
      <c r="O444" s="1">
        <v>132.97</v>
      </c>
      <c r="P444" s="1">
        <v>1</v>
      </c>
      <c r="Q444" s="1">
        <f t="shared" si="82"/>
        <v>132.97</v>
      </c>
      <c r="R444" s="1" t="s">
        <v>51</v>
      </c>
      <c r="S444" s="1">
        <f t="shared" si="83"/>
        <v>19.945499999999999</v>
      </c>
      <c r="T444" s="1">
        <f t="shared" si="84"/>
        <v>113.0245</v>
      </c>
      <c r="U444" s="1">
        <v>6</v>
      </c>
      <c r="V444" s="1">
        <f t="shared" si="85"/>
        <v>150.02449999999999</v>
      </c>
      <c r="W444" s="1">
        <v>37</v>
      </c>
      <c r="X444" s="2">
        <v>45190</v>
      </c>
      <c r="Y444" s="1" t="s">
        <v>1921</v>
      </c>
      <c r="Z444" s="1">
        <f t="shared" si="86"/>
        <v>169.97</v>
      </c>
      <c r="AA444" s="1">
        <f t="shared" si="87"/>
        <v>7</v>
      </c>
      <c r="AB444" s="1" t="str">
        <f t="shared" si="88"/>
        <v>Late</v>
      </c>
      <c r="AC444" s="1">
        <f t="shared" si="89"/>
        <v>132.97</v>
      </c>
      <c r="AD444" s="7">
        <f t="shared" si="90"/>
        <v>0.15</v>
      </c>
      <c r="AE444" s="1">
        <f t="shared" si="91"/>
        <v>19.945499999999999</v>
      </c>
      <c r="AF444" s="1">
        <f t="shared" si="92"/>
        <v>56.945499999999996</v>
      </c>
    </row>
    <row r="445" spans="1:32" ht="14.25" customHeight="1" x14ac:dyDescent="0.3">
      <c r="A445" s="1" t="s">
        <v>294</v>
      </c>
      <c r="B445" s="1" t="s">
        <v>295</v>
      </c>
      <c r="C445" s="1" t="s">
        <v>296</v>
      </c>
      <c r="D445" s="1" t="str">
        <f t="shared" si="80"/>
        <v>Valerie Carr</v>
      </c>
      <c r="E445" s="1">
        <v>26</v>
      </c>
      <c r="F445" s="1" t="s">
        <v>45</v>
      </c>
      <c r="G445" s="1" t="s">
        <v>161</v>
      </c>
      <c r="H445" s="1" t="s">
        <v>297</v>
      </c>
      <c r="I445" s="1" t="s">
        <v>298</v>
      </c>
      <c r="J445" s="1" t="s">
        <v>299</v>
      </c>
      <c r="K445" s="2">
        <v>45168</v>
      </c>
      <c r="L445" s="2" t="str">
        <f t="shared" si="81"/>
        <v>August</v>
      </c>
      <c r="M445" s="1" t="s">
        <v>300</v>
      </c>
      <c r="N445" s="1" t="s">
        <v>301</v>
      </c>
      <c r="O445" s="1">
        <v>129.75</v>
      </c>
      <c r="P445" s="1">
        <v>1</v>
      </c>
      <c r="Q445" s="1">
        <f t="shared" si="82"/>
        <v>129.75</v>
      </c>
      <c r="R445" s="1" t="s">
        <v>89</v>
      </c>
      <c r="S445" s="1">
        <f t="shared" si="83"/>
        <v>12.975000000000001</v>
      </c>
      <c r="T445" s="1">
        <f t="shared" si="84"/>
        <v>116.77500000000001</v>
      </c>
      <c r="U445" s="1">
        <v>5</v>
      </c>
      <c r="V445" s="1">
        <f t="shared" si="85"/>
        <v>186.77500000000001</v>
      </c>
      <c r="W445" s="1">
        <v>70</v>
      </c>
      <c r="X445" s="2">
        <v>45172</v>
      </c>
      <c r="Y445" s="1" t="s">
        <v>302</v>
      </c>
      <c r="Z445" s="1">
        <f t="shared" si="86"/>
        <v>199.75</v>
      </c>
      <c r="AA445" s="1">
        <f t="shared" si="87"/>
        <v>4</v>
      </c>
      <c r="AB445" s="1" t="str">
        <f t="shared" si="88"/>
        <v>BeforeTime</v>
      </c>
      <c r="AC445" s="1">
        <f t="shared" si="89"/>
        <v>129.75</v>
      </c>
      <c r="AD445" s="7">
        <f t="shared" si="90"/>
        <v>0.1</v>
      </c>
      <c r="AE445" s="1">
        <f t="shared" si="91"/>
        <v>12.975000000000001</v>
      </c>
      <c r="AF445" s="1">
        <f t="shared" si="92"/>
        <v>82.974999999999994</v>
      </c>
    </row>
    <row r="446" spans="1:32" ht="14.25" customHeight="1" x14ac:dyDescent="0.3">
      <c r="A446" s="1" t="s">
        <v>351</v>
      </c>
      <c r="B446" s="1" t="s">
        <v>352</v>
      </c>
      <c r="C446" s="1" t="s">
        <v>353</v>
      </c>
      <c r="D446" s="1" t="str">
        <f t="shared" si="80"/>
        <v>Robert Castillo</v>
      </c>
      <c r="E446" s="1">
        <v>32</v>
      </c>
      <c r="F446" s="1" t="s">
        <v>34</v>
      </c>
      <c r="G446" s="1" t="s">
        <v>161</v>
      </c>
      <c r="H446" s="1" t="s">
        <v>354</v>
      </c>
      <c r="I446" s="1" t="s">
        <v>355</v>
      </c>
      <c r="J446" s="1" t="s">
        <v>356</v>
      </c>
      <c r="K446" s="2">
        <v>45020</v>
      </c>
      <c r="L446" s="2" t="str">
        <f t="shared" si="81"/>
        <v>April</v>
      </c>
      <c r="M446" s="1" t="s">
        <v>357</v>
      </c>
      <c r="N446" s="1" t="s">
        <v>301</v>
      </c>
      <c r="O446" s="1">
        <v>129.75</v>
      </c>
      <c r="P446" s="1">
        <v>1</v>
      </c>
      <c r="Q446" s="1">
        <f t="shared" si="82"/>
        <v>129.75</v>
      </c>
      <c r="R446" s="1" t="s">
        <v>89</v>
      </c>
      <c r="S446" s="1">
        <f t="shared" si="83"/>
        <v>12.975000000000001</v>
      </c>
      <c r="T446" s="1">
        <f t="shared" si="84"/>
        <v>116.77500000000001</v>
      </c>
      <c r="U446" s="1">
        <v>6</v>
      </c>
      <c r="V446" s="1">
        <f t="shared" si="85"/>
        <v>159.77500000000001</v>
      </c>
      <c r="W446" s="1">
        <v>43</v>
      </c>
      <c r="X446" s="2">
        <v>45026</v>
      </c>
      <c r="Y446" s="1" t="s">
        <v>358</v>
      </c>
      <c r="Z446" s="1">
        <f t="shared" si="86"/>
        <v>172.75</v>
      </c>
      <c r="AA446" s="1">
        <f t="shared" si="87"/>
        <v>6</v>
      </c>
      <c r="AB446" s="1" t="str">
        <f t="shared" si="88"/>
        <v>Intime</v>
      </c>
      <c r="AC446" s="1">
        <f t="shared" si="89"/>
        <v>129.75</v>
      </c>
      <c r="AD446" s="7">
        <f t="shared" si="90"/>
        <v>0.1</v>
      </c>
      <c r="AE446" s="1">
        <f t="shared" si="91"/>
        <v>12.975000000000001</v>
      </c>
      <c r="AF446" s="1">
        <f t="shared" si="92"/>
        <v>55.975000000000001</v>
      </c>
    </row>
    <row r="447" spans="1:32" ht="14.25" customHeight="1" x14ac:dyDescent="0.3">
      <c r="A447" s="1" t="s">
        <v>265</v>
      </c>
      <c r="B447" s="1" t="s">
        <v>266</v>
      </c>
      <c r="C447" s="1" t="s">
        <v>267</v>
      </c>
      <c r="D447" s="1" t="str">
        <f t="shared" si="80"/>
        <v>Lauren Long</v>
      </c>
      <c r="E447" s="1">
        <v>44</v>
      </c>
      <c r="F447" s="1" t="s">
        <v>22</v>
      </c>
      <c r="G447" s="1" t="s">
        <v>213</v>
      </c>
      <c r="H447" s="1" t="s">
        <v>268</v>
      </c>
      <c r="I447" s="1" t="s">
        <v>269</v>
      </c>
      <c r="J447" s="1" t="s">
        <v>903</v>
      </c>
      <c r="K447" s="2">
        <v>45584</v>
      </c>
      <c r="L447" s="2" t="str">
        <f t="shared" si="81"/>
        <v>October</v>
      </c>
      <c r="M447" s="1" t="s">
        <v>904</v>
      </c>
      <c r="N447" s="1" t="s">
        <v>301</v>
      </c>
      <c r="O447" s="1">
        <v>129.75</v>
      </c>
      <c r="P447" s="1">
        <v>1</v>
      </c>
      <c r="Q447" s="1">
        <f t="shared" si="82"/>
        <v>129.75</v>
      </c>
      <c r="R447" s="1" t="s">
        <v>56</v>
      </c>
      <c r="S447" s="1">
        <f t="shared" si="83"/>
        <v>0</v>
      </c>
      <c r="T447" s="1">
        <f t="shared" si="84"/>
        <v>129.75</v>
      </c>
      <c r="U447" s="1">
        <v>7</v>
      </c>
      <c r="V447" s="1">
        <f t="shared" si="85"/>
        <v>173.75</v>
      </c>
      <c r="W447" s="1">
        <v>44</v>
      </c>
      <c r="X447" s="2">
        <v>45591</v>
      </c>
      <c r="Y447" s="1" t="s">
        <v>905</v>
      </c>
      <c r="Z447" s="1">
        <f t="shared" si="86"/>
        <v>173.75</v>
      </c>
      <c r="AA447" s="1">
        <f t="shared" si="87"/>
        <v>7</v>
      </c>
      <c r="AB447" s="1" t="str">
        <f t="shared" si="88"/>
        <v>Intime</v>
      </c>
      <c r="AC447" s="1">
        <f t="shared" si="89"/>
        <v>129.75</v>
      </c>
      <c r="AD447" s="7">
        <f t="shared" si="90"/>
        <v>0</v>
      </c>
      <c r="AE447" s="1">
        <f t="shared" si="91"/>
        <v>0</v>
      </c>
      <c r="AF447" s="1">
        <f t="shared" si="92"/>
        <v>0</v>
      </c>
    </row>
    <row r="448" spans="1:32" ht="14.25" customHeight="1" x14ac:dyDescent="0.3">
      <c r="A448" s="1" t="s">
        <v>351</v>
      </c>
      <c r="B448" s="1" t="s">
        <v>352</v>
      </c>
      <c r="C448" s="1" t="s">
        <v>353</v>
      </c>
      <c r="D448" s="1" t="str">
        <f t="shared" si="80"/>
        <v>Robert Castillo</v>
      </c>
      <c r="E448" s="1">
        <v>32</v>
      </c>
      <c r="F448" s="1" t="s">
        <v>34</v>
      </c>
      <c r="G448" s="1" t="s">
        <v>161</v>
      </c>
      <c r="H448" s="1" t="s">
        <v>354</v>
      </c>
      <c r="I448" s="1" t="s">
        <v>355</v>
      </c>
      <c r="J448" s="1" t="s">
        <v>2025</v>
      </c>
      <c r="K448" s="2">
        <v>45217</v>
      </c>
      <c r="L448" s="2" t="str">
        <f t="shared" si="81"/>
        <v>October</v>
      </c>
      <c r="M448" s="1" t="s">
        <v>2026</v>
      </c>
      <c r="N448" s="1" t="s">
        <v>301</v>
      </c>
      <c r="O448" s="1">
        <v>129.75</v>
      </c>
      <c r="P448" s="1">
        <v>1</v>
      </c>
      <c r="Q448" s="1">
        <f t="shared" si="82"/>
        <v>129.75</v>
      </c>
      <c r="R448" s="1" t="s">
        <v>29</v>
      </c>
      <c r="S448" s="1">
        <f t="shared" si="83"/>
        <v>10.38</v>
      </c>
      <c r="T448" s="1">
        <f t="shared" si="84"/>
        <v>119.37</v>
      </c>
      <c r="U448" s="1">
        <v>7</v>
      </c>
      <c r="V448" s="1">
        <f t="shared" si="85"/>
        <v>175.37</v>
      </c>
      <c r="W448" s="1">
        <v>56</v>
      </c>
      <c r="X448" s="2">
        <v>45219</v>
      </c>
      <c r="Y448" s="1" t="s">
        <v>2027</v>
      </c>
      <c r="Z448" s="1">
        <f t="shared" si="86"/>
        <v>185.75</v>
      </c>
      <c r="AA448" s="1">
        <f t="shared" si="87"/>
        <v>2</v>
      </c>
      <c r="AB448" s="1" t="str">
        <f t="shared" si="88"/>
        <v>BeforeTime</v>
      </c>
      <c r="AC448" s="1">
        <f t="shared" si="89"/>
        <v>129.75</v>
      </c>
      <c r="AD448" s="7">
        <f t="shared" si="90"/>
        <v>0.08</v>
      </c>
      <c r="AE448" s="1">
        <f t="shared" si="91"/>
        <v>10.38</v>
      </c>
      <c r="AF448" s="1">
        <f t="shared" si="92"/>
        <v>66.38</v>
      </c>
    </row>
    <row r="449" spans="1:32" ht="14.25" customHeight="1" x14ac:dyDescent="0.3">
      <c r="A449" s="1" t="s">
        <v>31</v>
      </c>
      <c r="B449" s="1" t="s">
        <v>32</v>
      </c>
      <c r="C449" s="1" t="s">
        <v>33</v>
      </c>
      <c r="D449" s="1" t="str">
        <f t="shared" si="80"/>
        <v>Anthony Thomas</v>
      </c>
      <c r="E449" s="1">
        <v>53</v>
      </c>
      <c r="F449" s="1" t="s">
        <v>34</v>
      </c>
      <c r="G449" s="1" t="s">
        <v>35</v>
      </c>
      <c r="H449" s="1" t="s">
        <v>36</v>
      </c>
      <c r="I449" s="1" t="s">
        <v>37</v>
      </c>
      <c r="J449" s="1" t="s">
        <v>561</v>
      </c>
      <c r="K449" s="2">
        <v>45041</v>
      </c>
      <c r="L449" s="2" t="str">
        <f t="shared" si="81"/>
        <v>April</v>
      </c>
      <c r="M449" s="1" t="s">
        <v>562</v>
      </c>
      <c r="N449" s="1" t="s">
        <v>243</v>
      </c>
      <c r="O449" s="1">
        <v>128.13999999999999</v>
      </c>
      <c r="P449" s="1">
        <v>1</v>
      </c>
      <c r="Q449" s="1">
        <f t="shared" si="82"/>
        <v>128.13999999999999</v>
      </c>
      <c r="R449" s="1" t="s">
        <v>29</v>
      </c>
      <c r="S449" s="1">
        <f t="shared" si="83"/>
        <v>10.251199999999999</v>
      </c>
      <c r="T449" s="1">
        <f t="shared" si="84"/>
        <v>117.88879999999999</v>
      </c>
      <c r="U449" s="1">
        <v>7</v>
      </c>
      <c r="V449" s="1">
        <f t="shared" si="85"/>
        <v>187.8888</v>
      </c>
      <c r="W449" s="1">
        <v>70</v>
      </c>
      <c r="X449" s="2">
        <v>45045</v>
      </c>
      <c r="Y449" s="1" t="s">
        <v>563</v>
      </c>
      <c r="Z449" s="1">
        <f t="shared" si="86"/>
        <v>198.14</v>
      </c>
      <c r="AA449" s="1">
        <f t="shared" si="87"/>
        <v>4</v>
      </c>
      <c r="AB449" s="1" t="str">
        <f t="shared" si="88"/>
        <v>BeforeTime</v>
      </c>
      <c r="AC449" s="1">
        <f t="shared" si="89"/>
        <v>128.13999999999999</v>
      </c>
      <c r="AD449" s="7">
        <f t="shared" si="90"/>
        <v>0.08</v>
      </c>
      <c r="AE449" s="1">
        <f t="shared" si="91"/>
        <v>10.251199999999999</v>
      </c>
      <c r="AF449" s="1">
        <f t="shared" si="92"/>
        <v>80.251199999999997</v>
      </c>
    </row>
    <row r="450" spans="1:32" ht="14.25" customHeight="1" x14ac:dyDescent="0.3">
      <c r="A450" s="1" t="s">
        <v>1161</v>
      </c>
      <c r="B450" s="1" t="s">
        <v>1162</v>
      </c>
      <c r="C450" s="1" t="s">
        <v>1163</v>
      </c>
      <c r="D450" s="1" t="str">
        <f t="shared" ref="D450:D501" si="93">_xlfn.CONCAT(B450," ",C450)</f>
        <v>Mike Carter</v>
      </c>
      <c r="E450" s="1">
        <v>59</v>
      </c>
      <c r="F450" s="1" t="s">
        <v>45</v>
      </c>
      <c r="G450" s="1" t="s">
        <v>161</v>
      </c>
      <c r="H450" s="1" t="s">
        <v>1164</v>
      </c>
      <c r="I450" s="1" t="s">
        <v>1165</v>
      </c>
      <c r="J450" s="1" t="s">
        <v>1166</v>
      </c>
      <c r="K450" s="2">
        <v>45251</v>
      </c>
      <c r="L450" s="2" t="str">
        <f t="shared" ref="L450:L501" si="94">TEXT(K450,"mmmm")</f>
        <v>November</v>
      </c>
      <c r="M450" s="1" t="s">
        <v>1167</v>
      </c>
      <c r="N450" s="1" t="s">
        <v>243</v>
      </c>
      <c r="O450" s="1">
        <v>128.13999999999999</v>
      </c>
      <c r="P450" s="1">
        <v>1</v>
      </c>
      <c r="Q450" s="1">
        <f t="shared" ref="Q450:Q501" si="95">O450*P450</f>
        <v>128.13999999999999</v>
      </c>
      <c r="R450" s="1" t="s">
        <v>89</v>
      </c>
      <c r="S450" s="1">
        <f t="shared" ref="S450:S501" si="96">IF(R450="FLAT8",O450*P450*8%,IF(R450="FLAT10",O450*P450*10%,IF(R450="FLAT15",O450*P450*15%,IF(R450="FLAT20",O450*P450*20%,0))))</f>
        <v>12.814</v>
      </c>
      <c r="T450" s="1">
        <f t="shared" ref="T450:T501" si="97">Q450-S450</f>
        <v>115.32599999999999</v>
      </c>
      <c r="U450" s="1">
        <v>7</v>
      </c>
      <c r="V450" s="1">
        <f t="shared" ref="V450:V501" si="98">T450+W450</f>
        <v>167.32599999999999</v>
      </c>
      <c r="W450" s="1">
        <v>52</v>
      </c>
      <c r="X450" s="2">
        <v>45254</v>
      </c>
      <c r="Y450" s="1" t="s">
        <v>1168</v>
      </c>
      <c r="Z450" s="1">
        <f t="shared" ref="Z450:Z501" si="99">(O450*P450)+W450</f>
        <v>180.14</v>
      </c>
      <c r="AA450" s="1">
        <f t="shared" ref="AA450:AA501" si="100">X450-K450</f>
        <v>3</v>
      </c>
      <c r="AB450" s="1" t="str">
        <f t="shared" ref="AB450:AB501" si="101">IF(AA450&gt;U450,"Late",IF(AA450=U450,"Intime","BeforeTime"))</f>
        <v>BeforeTime</v>
      </c>
      <c r="AC450" s="1">
        <f t="shared" ref="AC450:AC501" si="102">O450*P450</f>
        <v>128.13999999999999</v>
      </c>
      <c r="AD450" s="7">
        <f t="shared" ref="AD450:AD501" si="103">IF(R450="FLAT8",8%,IF(R450="FLAT10",10%,IF(R450="FLAT15",15%,IF(R450="FLAT20",20%,0))))</f>
        <v>0.1</v>
      </c>
      <c r="AE450" s="1">
        <f t="shared" ref="AE450:AE501" si="104">Q450*AD450</f>
        <v>12.814</v>
      </c>
      <c r="AF450" s="1">
        <f t="shared" ref="AF450:AF501" si="105">IF(R450="DEL0",AE450,AE450+W450)</f>
        <v>64.813999999999993</v>
      </c>
    </row>
    <row r="451" spans="1:32" ht="14.25" customHeight="1" x14ac:dyDescent="0.3">
      <c r="A451" s="1" t="s">
        <v>1072</v>
      </c>
      <c r="B451" s="1" t="s">
        <v>211</v>
      </c>
      <c r="C451" s="1" t="s">
        <v>1073</v>
      </c>
      <c r="D451" s="1" t="str">
        <f t="shared" si="93"/>
        <v>Mark Summers</v>
      </c>
      <c r="E451" s="1">
        <v>55</v>
      </c>
      <c r="F451" s="1" t="s">
        <v>34</v>
      </c>
      <c r="G451" s="1" t="s">
        <v>152</v>
      </c>
      <c r="H451" s="1" t="s">
        <v>1074</v>
      </c>
      <c r="I451" s="1" t="s">
        <v>1075</v>
      </c>
      <c r="J451" s="1" t="s">
        <v>1444</v>
      </c>
      <c r="K451" s="2">
        <v>44976</v>
      </c>
      <c r="L451" s="2" t="str">
        <f t="shared" si="94"/>
        <v>February</v>
      </c>
      <c r="M451" s="1" t="s">
        <v>1445</v>
      </c>
      <c r="N451" s="1" t="s">
        <v>243</v>
      </c>
      <c r="O451" s="1">
        <v>128.13999999999999</v>
      </c>
      <c r="P451" s="1">
        <v>1</v>
      </c>
      <c r="Q451" s="1">
        <f t="shared" si="95"/>
        <v>128.13999999999999</v>
      </c>
      <c r="R451" s="1" t="s">
        <v>89</v>
      </c>
      <c r="S451" s="1">
        <f t="shared" si="96"/>
        <v>12.814</v>
      </c>
      <c r="T451" s="1">
        <f t="shared" si="97"/>
        <v>115.32599999999999</v>
      </c>
      <c r="U451" s="1">
        <v>1</v>
      </c>
      <c r="V451" s="1">
        <f t="shared" si="98"/>
        <v>154.32599999999999</v>
      </c>
      <c r="W451" s="1">
        <v>39</v>
      </c>
      <c r="X451" s="2">
        <v>44982</v>
      </c>
      <c r="Y451" s="1" t="s">
        <v>1446</v>
      </c>
      <c r="Z451" s="1">
        <f t="shared" si="99"/>
        <v>167.14</v>
      </c>
      <c r="AA451" s="1">
        <f t="shared" si="100"/>
        <v>6</v>
      </c>
      <c r="AB451" s="1" t="str">
        <f t="shared" si="101"/>
        <v>Late</v>
      </c>
      <c r="AC451" s="1">
        <f t="shared" si="102"/>
        <v>128.13999999999999</v>
      </c>
      <c r="AD451" s="7">
        <f t="shared" si="103"/>
        <v>0.1</v>
      </c>
      <c r="AE451" s="1">
        <f t="shared" si="104"/>
        <v>12.814</v>
      </c>
      <c r="AF451" s="1">
        <f t="shared" si="105"/>
        <v>51.814</v>
      </c>
    </row>
    <row r="452" spans="1:32" ht="14.25" customHeight="1" x14ac:dyDescent="0.3">
      <c r="A452" s="1" t="s">
        <v>359</v>
      </c>
      <c r="B452" s="1" t="s">
        <v>360</v>
      </c>
      <c r="C452" s="1" t="s">
        <v>361</v>
      </c>
      <c r="D452" s="1" t="str">
        <f t="shared" si="93"/>
        <v>Timothy Hicks</v>
      </c>
      <c r="E452" s="1">
        <v>31</v>
      </c>
      <c r="F452" s="1" t="s">
        <v>45</v>
      </c>
      <c r="G452" s="1" t="s">
        <v>133</v>
      </c>
      <c r="H452" s="1" t="s">
        <v>362</v>
      </c>
      <c r="I452" s="1" t="s">
        <v>363</v>
      </c>
      <c r="J452" s="1" t="s">
        <v>1789</v>
      </c>
      <c r="K452" s="2">
        <v>45653</v>
      </c>
      <c r="L452" s="2" t="str">
        <f t="shared" si="94"/>
        <v>December</v>
      </c>
      <c r="M452" s="1" t="s">
        <v>1790</v>
      </c>
      <c r="N452" s="1" t="s">
        <v>243</v>
      </c>
      <c r="O452" s="1">
        <v>128.13999999999999</v>
      </c>
      <c r="P452" s="1">
        <v>1</v>
      </c>
      <c r="Q452" s="1">
        <f t="shared" si="95"/>
        <v>128.13999999999999</v>
      </c>
      <c r="R452" s="1" t="s">
        <v>56</v>
      </c>
      <c r="S452" s="1">
        <f t="shared" si="96"/>
        <v>0</v>
      </c>
      <c r="T452" s="1">
        <f t="shared" si="97"/>
        <v>128.13999999999999</v>
      </c>
      <c r="U452" s="1">
        <v>3</v>
      </c>
      <c r="V452" s="1">
        <f t="shared" si="98"/>
        <v>183.14</v>
      </c>
      <c r="W452" s="1">
        <v>55</v>
      </c>
      <c r="X452" s="2">
        <v>45655</v>
      </c>
      <c r="Y452" s="1" t="s">
        <v>1791</v>
      </c>
      <c r="Z452" s="1">
        <f t="shared" si="99"/>
        <v>183.14</v>
      </c>
      <c r="AA452" s="1">
        <f t="shared" si="100"/>
        <v>2</v>
      </c>
      <c r="AB452" s="1" t="str">
        <f t="shared" si="101"/>
        <v>BeforeTime</v>
      </c>
      <c r="AC452" s="1">
        <f t="shared" si="102"/>
        <v>128.13999999999999</v>
      </c>
      <c r="AD452" s="7">
        <f t="shared" si="103"/>
        <v>0</v>
      </c>
      <c r="AE452" s="1">
        <f t="shared" si="104"/>
        <v>0</v>
      </c>
      <c r="AF452" s="1">
        <f t="shared" si="105"/>
        <v>0</v>
      </c>
    </row>
    <row r="453" spans="1:32" ht="14.25" customHeight="1" x14ac:dyDescent="0.3">
      <c r="A453" s="1" t="s">
        <v>158</v>
      </c>
      <c r="B453" s="1" t="s">
        <v>159</v>
      </c>
      <c r="C453" s="1" t="s">
        <v>160</v>
      </c>
      <c r="D453" s="1" t="str">
        <f t="shared" si="93"/>
        <v>Erin Miller</v>
      </c>
      <c r="E453" s="1">
        <v>46</v>
      </c>
      <c r="F453" s="1" t="s">
        <v>22</v>
      </c>
      <c r="G453" s="1" t="s">
        <v>161</v>
      </c>
      <c r="H453" s="1" t="s">
        <v>162</v>
      </c>
      <c r="I453" s="1" t="s">
        <v>163</v>
      </c>
      <c r="J453" s="1" t="s">
        <v>1017</v>
      </c>
      <c r="K453" s="2">
        <v>45586</v>
      </c>
      <c r="L453" s="2" t="str">
        <f t="shared" si="94"/>
        <v>October</v>
      </c>
      <c r="M453" s="1" t="s">
        <v>1018</v>
      </c>
      <c r="N453" s="1" t="s">
        <v>235</v>
      </c>
      <c r="O453" s="1">
        <v>126.19</v>
      </c>
      <c r="P453" s="1">
        <v>1</v>
      </c>
      <c r="Q453" s="1">
        <f t="shared" si="95"/>
        <v>126.19</v>
      </c>
      <c r="R453" s="1" t="s">
        <v>78</v>
      </c>
      <c r="S453" s="1">
        <f t="shared" si="96"/>
        <v>25.238</v>
      </c>
      <c r="T453" s="1">
        <f t="shared" si="97"/>
        <v>100.952</v>
      </c>
      <c r="U453" s="1">
        <v>5</v>
      </c>
      <c r="V453" s="1">
        <f t="shared" si="98"/>
        <v>168.952</v>
      </c>
      <c r="W453" s="1">
        <v>68</v>
      </c>
      <c r="X453" s="2">
        <v>45588</v>
      </c>
      <c r="Y453" s="1" t="s">
        <v>1019</v>
      </c>
      <c r="Z453" s="1">
        <f t="shared" si="99"/>
        <v>194.19</v>
      </c>
      <c r="AA453" s="1">
        <f t="shared" si="100"/>
        <v>2</v>
      </c>
      <c r="AB453" s="1" t="str">
        <f t="shared" si="101"/>
        <v>BeforeTime</v>
      </c>
      <c r="AC453" s="1">
        <f t="shared" si="102"/>
        <v>126.19</v>
      </c>
      <c r="AD453" s="7">
        <f t="shared" si="103"/>
        <v>0.2</v>
      </c>
      <c r="AE453" s="1">
        <f t="shared" si="104"/>
        <v>25.238</v>
      </c>
      <c r="AF453" s="1">
        <f t="shared" si="105"/>
        <v>93.238</v>
      </c>
    </row>
    <row r="454" spans="1:32" ht="14.25" customHeight="1" x14ac:dyDescent="0.3">
      <c r="A454" s="1" t="s">
        <v>436</v>
      </c>
      <c r="B454" s="1" t="s">
        <v>92</v>
      </c>
      <c r="C454" s="1" t="s">
        <v>437</v>
      </c>
      <c r="D454" s="1" t="str">
        <f t="shared" si="93"/>
        <v>Marcus Rogers</v>
      </c>
      <c r="E454" s="1">
        <v>36</v>
      </c>
      <c r="F454" s="1" t="s">
        <v>34</v>
      </c>
      <c r="G454" s="1" t="s">
        <v>23</v>
      </c>
      <c r="H454" s="1" t="s">
        <v>438</v>
      </c>
      <c r="I454" s="1" t="s">
        <v>439</v>
      </c>
      <c r="J454" s="1" t="s">
        <v>440</v>
      </c>
      <c r="K454" s="2">
        <v>45149</v>
      </c>
      <c r="L454" s="2" t="str">
        <f t="shared" si="94"/>
        <v>August</v>
      </c>
      <c r="M454" s="1" t="s">
        <v>441</v>
      </c>
      <c r="N454" s="1" t="s">
        <v>263</v>
      </c>
      <c r="O454" s="1">
        <v>62.42</v>
      </c>
      <c r="P454" s="1">
        <v>2</v>
      </c>
      <c r="Q454" s="1">
        <f t="shared" si="95"/>
        <v>124.84</v>
      </c>
      <c r="R454" s="1" t="s">
        <v>51</v>
      </c>
      <c r="S454" s="1">
        <f t="shared" si="96"/>
        <v>18.725999999999999</v>
      </c>
      <c r="T454" s="1">
        <f t="shared" si="97"/>
        <v>106.114</v>
      </c>
      <c r="U454" s="1">
        <v>1</v>
      </c>
      <c r="V454" s="1">
        <f t="shared" si="98"/>
        <v>159.114</v>
      </c>
      <c r="W454" s="1">
        <v>53</v>
      </c>
      <c r="X454" s="2">
        <v>45154</v>
      </c>
      <c r="Y454" s="1" t="s">
        <v>442</v>
      </c>
      <c r="Z454" s="1">
        <f t="shared" si="99"/>
        <v>177.84</v>
      </c>
      <c r="AA454" s="1">
        <f t="shared" si="100"/>
        <v>5</v>
      </c>
      <c r="AB454" s="1" t="str">
        <f t="shared" si="101"/>
        <v>Late</v>
      </c>
      <c r="AC454" s="1">
        <f t="shared" si="102"/>
        <v>124.84</v>
      </c>
      <c r="AD454" s="7">
        <f t="shared" si="103"/>
        <v>0.15</v>
      </c>
      <c r="AE454" s="1">
        <f t="shared" si="104"/>
        <v>18.725999999999999</v>
      </c>
      <c r="AF454" s="1">
        <f t="shared" si="105"/>
        <v>71.725999999999999</v>
      </c>
    </row>
    <row r="455" spans="1:32" ht="14.25" customHeight="1" x14ac:dyDescent="0.3">
      <c r="A455" s="1" t="s">
        <v>309</v>
      </c>
      <c r="B455" s="1" t="s">
        <v>310</v>
      </c>
      <c r="C455" s="1" t="s">
        <v>311</v>
      </c>
      <c r="D455" s="1" t="str">
        <f t="shared" si="93"/>
        <v>Jenny Estrada</v>
      </c>
      <c r="E455" s="1">
        <v>45</v>
      </c>
      <c r="F455" s="1" t="s">
        <v>22</v>
      </c>
      <c r="G455" s="1" t="s">
        <v>35</v>
      </c>
      <c r="H455" s="1" t="s">
        <v>312</v>
      </c>
      <c r="I455" s="1" t="s">
        <v>313</v>
      </c>
      <c r="J455" s="1" t="s">
        <v>1014</v>
      </c>
      <c r="K455" s="2">
        <v>45099</v>
      </c>
      <c r="L455" s="2" t="str">
        <f t="shared" si="94"/>
        <v>June</v>
      </c>
      <c r="M455" s="1" t="s">
        <v>1015</v>
      </c>
      <c r="N455" s="1" t="s">
        <v>934</v>
      </c>
      <c r="O455" s="1">
        <v>107.47</v>
      </c>
      <c r="P455" s="1">
        <v>1</v>
      </c>
      <c r="Q455" s="1">
        <f t="shared" si="95"/>
        <v>107.47</v>
      </c>
      <c r="R455" s="1" t="s">
        <v>89</v>
      </c>
      <c r="S455" s="1">
        <f t="shared" si="96"/>
        <v>10.747</v>
      </c>
      <c r="T455" s="1">
        <f t="shared" si="97"/>
        <v>96.722999999999999</v>
      </c>
      <c r="U455" s="1">
        <v>5</v>
      </c>
      <c r="V455" s="1">
        <f t="shared" si="98"/>
        <v>152.72300000000001</v>
      </c>
      <c r="W455" s="1">
        <v>56</v>
      </c>
      <c r="X455" s="2">
        <v>45104</v>
      </c>
      <c r="Y455" s="1" t="s">
        <v>1016</v>
      </c>
      <c r="Z455" s="1">
        <f t="shared" si="99"/>
        <v>163.47</v>
      </c>
      <c r="AA455" s="1">
        <f t="shared" si="100"/>
        <v>5</v>
      </c>
      <c r="AB455" s="1" t="str">
        <f t="shared" si="101"/>
        <v>Intime</v>
      </c>
      <c r="AC455" s="1">
        <f t="shared" si="102"/>
        <v>107.47</v>
      </c>
      <c r="AD455" s="7">
        <f t="shared" si="103"/>
        <v>0.1</v>
      </c>
      <c r="AE455" s="1">
        <f t="shared" si="104"/>
        <v>10.747</v>
      </c>
      <c r="AF455" s="1">
        <f t="shared" si="105"/>
        <v>66.747</v>
      </c>
    </row>
    <row r="456" spans="1:32" ht="14.25" customHeight="1" x14ac:dyDescent="0.3">
      <c r="A456" s="1" t="s">
        <v>1311</v>
      </c>
      <c r="B456" s="1" t="s">
        <v>1312</v>
      </c>
      <c r="C456" s="1" t="s">
        <v>1313</v>
      </c>
      <c r="D456" s="1" t="str">
        <f t="shared" si="93"/>
        <v>Jared Horn</v>
      </c>
      <c r="E456" s="1">
        <v>43</v>
      </c>
      <c r="F456" s="1" t="s">
        <v>22</v>
      </c>
      <c r="G456" s="1" t="s">
        <v>133</v>
      </c>
      <c r="H456" s="1" t="s">
        <v>1314</v>
      </c>
      <c r="I456" s="1" t="s">
        <v>1315</v>
      </c>
      <c r="J456" s="1" t="s">
        <v>1316</v>
      </c>
      <c r="K456" s="2">
        <v>45428</v>
      </c>
      <c r="L456" s="2" t="str">
        <f t="shared" si="94"/>
        <v>May</v>
      </c>
      <c r="M456" s="1" t="s">
        <v>1317</v>
      </c>
      <c r="N456" s="1" t="s">
        <v>934</v>
      </c>
      <c r="O456" s="1">
        <v>107.47</v>
      </c>
      <c r="P456" s="1">
        <v>1</v>
      </c>
      <c r="Q456" s="1">
        <f t="shared" si="95"/>
        <v>107.47</v>
      </c>
      <c r="R456" s="1" t="s">
        <v>29</v>
      </c>
      <c r="S456" s="1">
        <f t="shared" si="96"/>
        <v>8.5975999999999999</v>
      </c>
      <c r="T456" s="1">
        <f t="shared" si="97"/>
        <v>98.872399999999999</v>
      </c>
      <c r="U456" s="1">
        <v>4</v>
      </c>
      <c r="V456" s="1">
        <f t="shared" si="98"/>
        <v>134.8724</v>
      </c>
      <c r="W456" s="1">
        <v>36</v>
      </c>
      <c r="X456" s="2">
        <v>45430</v>
      </c>
      <c r="Y456" s="1" t="s">
        <v>1318</v>
      </c>
      <c r="Z456" s="1">
        <f t="shared" si="99"/>
        <v>143.47</v>
      </c>
      <c r="AA456" s="1">
        <f t="shared" si="100"/>
        <v>2</v>
      </c>
      <c r="AB456" s="1" t="str">
        <f t="shared" si="101"/>
        <v>BeforeTime</v>
      </c>
      <c r="AC456" s="1">
        <f t="shared" si="102"/>
        <v>107.47</v>
      </c>
      <c r="AD456" s="7">
        <f t="shared" si="103"/>
        <v>0.08</v>
      </c>
      <c r="AE456" s="1">
        <f t="shared" si="104"/>
        <v>8.5975999999999999</v>
      </c>
      <c r="AF456" s="1">
        <f t="shared" si="105"/>
        <v>44.5976</v>
      </c>
    </row>
    <row r="457" spans="1:32" ht="14.25" customHeight="1" x14ac:dyDescent="0.3">
      <c r="A457" s="1" t="s">
        <v>1203</v>
      </c>
      <c r="B457" s="1" t="s">
        <v>1204</v>
      </c>
      <c r="C457" s="1" t="s">
        <v>1205</v>
      </c>
      <c r="D457" s="1" t="str">
        <f t="shared" si="93"/>
        <v>Brendan Kelly</v>
      </c>
      <c r="E457" s="1">
        <v>50</v>
      </c>
      <c r="F457" s="1" t="s">
        <v>45</v>
      </c>
      <c r="G457" s="1" t="s">
        <v>161</v>
      </c>
      <c r="H457" s="1" t="s">
        <v>1206</v>
      </c>
      <c r="I457" s="1" t="s">
        <v>1207</v>
      </c>
      <c r="J457" s="1" t="s">
        <v>1332</v>
      </c>
      <c r="K457" s="2">
        <v>45599</v>
      </c>
      <c r="L457" s="2" t="str">
        <f t="shared" si="94"/>
        <v>November</v>
      </c>
      <c r="M457" s="1" t="s">
        <v>1333</v>
      </c>
      <c r="N457" s="1" t="s">
        <v>175</v>
      </c>
      <c r="O457" s="1">
        <v>104.18</v>
      </c>
      <c r="P457" s="1">
        <v>1</v>
      </c>
      <c r="Q457" s="1">
        <f t="shared" si="95"/>
        <v>104.18</v>
      </c>
      <c r="R457" s="1" t="s">
        <v>29</v>
      </c>
      <c r="S457" s="1">
        <f t="shared" si="96"/>
        <v>8.3344000000000005</v>
      </c>
      <c r="T457" s="1">
        <f t="shared" si="97"/>
        <v>95.845600000000005</v>
      </c>
      <c r="U457" s="1">
        <v>1</v>
      </c>
      <c r="V457" s="1">
        <f t="shared" si="98"/>
        <v>143.84559999999999</v>
      </c>
      <c r="W457" s="1">
        <v>48</v>
      </c>
      <c r="X457" s="2">
        <v>45603</v>
      </c>
      <c r="Y457" s="1" t="s">
        <v>1334</v>
      </c>
      <c r="Z457" s="1">
        <f t="shared" si="99"/>
        <v>152.18</v>
      </c>
      <c r="AA457" s="1">
        <f t="shared" si="100"/>
        <v>4</v>
      </c>
      <c r="AB457" s="1" t="str">
        <f t="shared" si="101"/>
        <v>Late</v>
      </c>
      <c r="AC457" s="1">
        <f t="shared" si="102"/>
        <v>104.18</v>
      </c>
      <c r="AD457" s="7">
        <f t="shared" si="103"/>
        <v>0.08</v>
      </c>
      <c r="AE457" s="1">
        <f t="shared" si="104"/>
        <v>8.3344000000000005</v>
      </c>
      <c r="AF457" s="1">
        <f t="shared" si="105"/>
        <v>56.334400000000002</v>
      </c>
    </row>
    <row r="458" spans="1:32" ht="14.25" customHeight="1" x14ac:dyDescent="0.3">
      <c r="A458" s="1" t="s">
        <v>1203</v>
      </c>
      <c r="B458" s="1" t="s">
        <v>1204</v>
      </c>
      <c r="C458" s="1" t="s">
        <v>1205</v>
      </c>
      <c r="D458" s="1" t="str">
        <f t="shared" si="93"/>
        <v>Brendan Kelly</v>
      </c>
      <c r="E458" s="1">
        <v>50</v>
      </c>
      <c r="F458" s="1" t="s">
        <v>45</v>
      </c>
      <c r="G458" s="1" t="s">
        <v>161</v>
      </c>
      <c r="H458" s="1" t="s">
        <v>1206</v>
      </c>
      <c r="I458" s="1" t="s">
        <v>1207</v>
      </c>
      <c r="J458" s="1" t="s">
        <v>1405</v>
      </c>
      <c r="K458" s="2">
        <v>45557</v>
      </c>
      <c r="L458" s="2" t="str">
        <f t="shared" si="94"/>
        <v>September</v>
      </c>
      <c r="M458" s="1" t="s">
        <v>1406</v>
      </c>
      <c r="N458" s="1" t="s">
        <v>175</v>
      </c>
      <c r="O458" s="1">
        <v>104.18</v>
      </c>
      <c r="P458" s="1">
        <v>1</v>
      </c>
      <c r="Q458" s="1">
        <f t="shared" si="95"/>
        <v>104.18</v>
      </c>
      <c r="R458" s="1" t="s">
        <v>29</v>
      </c>
      <c r="S458" s="1">
        <f t="shared" si="96"/>
        <v>8.3344000000000005</v>
      </c>
      <c r="T458" s="1">
        <f t="shared" si="97"/>
        <v>95.845600000000005</v>
      </c>
      <c r="U458" s="1">
        <v>3</v>
      </c>
      <c r="V458" s="1">
        <f t="shared" si="98"/>
        <v>155.84559999999999</v>
      </c>
      <c r="W458" s="1">
        <v>60</v>
      </c>
      <c r="X458" s="2">
        <v>45563</v>
      </c>
      <c r="Y458" s="1" t="s">
        <v>1407</v>
      </c>
      <c r="Z458" s="1">
        <f t="shared" si="99"/>
        <v>164.18</v>
      </c>
      <c r="AA458" s="1">
        <f t="shared" si="100"/>
        <v>6</v>
      </c>
      <c r="AB458" s="1" t="str">
        <f t="shared" si="101"/>
        <v>Late</v>
      </c>
      <c r="AC458" s="1">
        <f t="shared" si="102"/>
        <v>104.18</v>
      </c>
      <c r="AD458" s="7">
        <f t="shared" si="103"/>
        <v>0.08</v>
      </c>
      <c r="AE458" s="1">
        <f t="shared" si="104"/>
        <v>8.3344000000000005</v>
      </c>
      <c r="AF458" s="1">
        <f t="shared" si="105"/>
        <v>68.334400000000002</v>
      </c>
    </row>
    <row r="459" spans="1:32" ht="14.25" customHeight="1" x14ac:dyDescent="0.3">
      <c r="A459" s="1" t="s">
        <v>1231</v>
      </c>
      <c r="B459" s="1" t="s">
        <v>1232</v>
      </c>
      <c r="C459" s="1" t="s">
        <v>1233</v>
      </c>
      <c r="D459" s="1" t="str">
        <f t="shared" si="93"/>
        <v>Hannah Gutierrez</v>
      </c>
      <c r="E459" s="1">
        <v>55</v>
      </c>
      <c r="F459" s="1" t="s">
        <v>34</v>
      </c>
      <c r="G459" s="1" t="s">
        <v>152</v>
      </c>
      <c r="H459" s="1" t="s">
        <v>1234</v>
      </c>
      <c r="I459" s="1" t="s">
        <v>1235</v>
      </c>
      <c r="J459" s="1" t="s">
        <v>1838</v>
      </c>
      <c r="K459" s="2">
        <v>45005</v>
      </c>
      <c r="L459" s="2" t="str">
        <f t="shared" si="94"/>
        <v>March</v>
      </c>
      <c r="M459" s="1" t="s">
        <v>1839</v>
      </c>
      <c r="N459" s="1" t="s">
        <v>175</v>
      </c>
      <c r="O459" s="1">
        <v>104.18</v>
      </c>
      <c r="P459" s="1">
        <v>1</v>
      </c>
      <c r="Q459" s="1">
        <f t="shared" si="95"/>
        <v>104.18</v>
      </c>
      <c r="R459" s="1" t="s">
        <v>29</v>
      </c>
      <c r="S459" s="1">
        <f t="shared" si="96"/>
        <v>8.3344000000000005</v>
      </c>
      <c r="T459" s="1">
        <f t="shared" si="97"/>
        <v>95.845600000000005</v>
      </c>
      <c r="U459" s="1">
        <v>5</v>
      </c>
      <c r="V459" s="1">
        <f t="shared" si="98"/>
        <v>132.84559999999999</v>
      </c>
      <c r="W459" s="1">
        <v>37</v>
      </c>
      <c r="X459" s="2">
        <v>45007</v>
      </c>
      <c r="Y459" s="1" t="s">
        <v>1840</v>
      </c>
      <c r="Z459" s="1">
        <f t="shared" si="99"/>
        <v>141.18</v>
      </c>
      <c r="AA459" s="1">
        <f t="shared" si="100"/>
        <v>2</v>
      </c>
      <c r="AB459" s="1" t="str">
        <f t="shared" si="101"/>
        <v>BeforeTime</v>
      </c>
      <c r="AC459" s="1">
        <f t="shared" si="102"/>
        <v>104.18</v>
      </c>
      <c r="AD459" s="7">
        <f t="shared" si="103"/>
        <v>0.08</v>
      </c>
      <c r="AE459" s="1">
        <f t="shared" si="104"/>
        <v>8.3344000000000005</v>
      </c>
      <c r="AF459" s="1">
        <f t="shared" si="105"/>
        <v>45.334400000000002</v>
      </c>
    </row>
    <row r="460" spans="1:32" ht="14.25" customHeight="1" x14ac:dyDescent="0.3">
      <c r="A460" s="1" t="s">
        <v>185</v>
      </c>
      <c r="B460" s="1" t="s">
        <v>186</v>
      </c>
      <c r="C460" s="1" t="s">
        <v>187</v>
      </c>
      <c r="D460" s="1" t="str">
        <f t="shared" si="93"/>
        <v>Traci Jones</v>
      </c>
      <c r="E460" s="1">
        <v>34</v>
      </c>
      <c r="F460" s="1" t="s">
        <v>22</v>
      </c>
      <c r="G460" s="1" t="s">
        <v>83</v>
      </c>
      <c r="H460" s="1" t="s">
        <v>188</v>
      </c>
      <c r="I460" s="1" t="s">
        <v>189</v>
      </c>
      <c r="J460" s="1" t="s">
        <v>190</v>
      </c>
      <c r="K460" s="2">
        <v>45556</v>
      </c>
      <c r="L460" s="2" t="str">
        <f t="shared" si="94"/>
        <v>September</v>
      </c>
      <c r="M460" s="1" t="s">
        <v>191</v>
      </c>
      <c r="N460" s="1" t="s">
        <v>192</v>
      </c>
      <c r="O460" s="1">
        <v>20.7</v>
      </c>
      <c r="P460" s="1">
        <v>5</v>
      </c>
      <c r="Q460" s="1">
        <f t="shared" si="95"/>
        <v>103.5</v>
      </c>
      <c r="R460" s="1" t="s">
        <v>56</v>
      </c>
      <c r="S460" s="1">
        <f t="shared" si="96"/>
        <v>0</v>
      </c>
      <c r="T460" s="1">
        <f t="shared" si="97"/>
        <v>103.5</v>
      </c>
      <c r="U460" s="1">
        <v>7</v>
      </c>
      <c r="V460" s="1">
        <f t="shared" si="98"/>
        <v>141.5</v>
      </c>
      <c r="W460" s="1">
        <v>38</v>
      </c>
      <c r="X460" s="2">
        <v>45561</v>
      </c>
      <c r="Y460" s="1" t="s">
        <v>193</v>
      </c>
      <c r="Z460" s="1">
        <f t="shared" si="99"/>
        <v>141.5</v>
      </c>
      <c r="AA460" s="1">
        <f t="shared" si="100"/>
        <v>5</v>
      </c>
      <c r="AB460" s="1" t="str">
        <f t="shared" si="101"/>
        <v>BeforeTime</v>
      </c>
      <c r="AC460" s="1">
        <f t="shared" si="102"/>
        <v>103.5</v>
      </c>
      <c r="AD460" s="7">
        <f t="shared" si="103"/>
        <v>0</v>
      </c>
      <c r="AE460" s="1">
        <f t="shared" si="104"/>
        <v>0</v>
      </c>
      <c r="AF460" s="1">
        <f t="shared" si="105"/>
        <v>0</v>
      </c>
    </row>
    <row r="461" spans="1:32" ht="14.25" customHeight="1" x14ac:dyDescent="0.3">
      <c r="A461" s="1" t="s">
        <v>58</v>
      </c>
      <c r="B461" s="1" t="s">
        <v>59</v>
      </c>
      <c r="C461" s="1" t="s">
        <v>60</v>
      </c>
      <c r="D461" s="1" t="str">
        <f t="shared" si="93"/>
        <v>Angela Horne</v>
      </c>
      <c r="E461" s="1">
        <v>49</v>
      </c>
      <c r="F461" s="1" t="s">
        <v>45</v>
      </c>
      <c r="G461" s="1" t="s">
        <v>23</v>
      </c>
      <c r="H461" s="1" t="s">
        <v>61</v>
      </c>
      <c r="I461" s="1" t="s">
        <v>62</v>
      </c>
      <c r="J461" s="1" t="s">
        <v>306</v>
      </c>
      <c r="K461" s="2">
        <v>45242</v>
      </c>
      <c r="L461" s="2" t="str">
        <f t="shared" si="94"/>
        <v>November</v>
      </c>
      <c r="M461" s="1" t="s">
        <v>307</v>
      </c>
      <c r="N461" s="1" t="s">
        <v>192</v>
      </c>
      <c r="O461" s="1">
        <v>20.7</v>
      </c>
      <c r="P461" s="1">
        <v>5</v>
      </c>
      <c r="Q461" s="1">
        <f t="shared" si="95"/>
        <v>103.5</v>
      </c>
      <c r="R461" s="1" t="s">
        <v>56</v>
      </c>
      <c r="S461" s="1">
        <f t="shared" si="96"/>
        <v>0</v>
      </c>
      <c r="T461" s="1">
        <f t="shared" si="97"/>
        <v>103.5</v>
      </c>
      <c r="U461" s="1">
        <v>2</v>
      </c>
      <c r="V461" s="1">
        <f t="shared" si="98"/>
        <v>167.5</v>
      </c>
      <c r="W461" s="1">
        <v>64</v>
      </c>
      <c r="X461" s="2">
        <v>45248</v>
      </c>
      <c r="Y461" s="1" t="s">
        <v>308</v>
      </c>
      <c r="Z461" s="1">
        <f t="shared" si="99"/>
        <v>167.5</v>
      </c>
      <c r="AA461" s="1">
        <f t="shared" si="100"/>
        <v>6</v>
      </c>
      <c r="AB461" s="1" t="str">
        <f t="shared" si="101"/>
        <v>Late</v>
      </c>
      <c r="AC461" s="1">
        <f t="shared" si="102"/>
        <v>103.5</v>
      </c>
      <c r="AD461" s="7">
        <f t="shared" si="103"/>
        <v>0</v>
      </c>
      <c r="AE461" s="1">
        <f t="shared" si="104"/>
        <v>0</v>
      </c>
      <c r="AF461" s="1">
        <f t="shared" si="105"/>
        <v>0</v>
      </c>
    </row>
    <row r="462" spans="1:32" ht="14.25" customHeight="1" x14ac:dyDescent="0.3">
      <c r="A462" s="1" t="s">
        <v>443</v>
      </c>
      <c r="B462" s="1" t="s">
        <v>444</v>
      </c>
      <c r="C462" s="1" t="s">
        <v>445</v>
      </c>
      <c r="D462" s="1" t="str">
        <f t="shared" si="93"/>
        <v>Brian Kennedy</v>
      </c>
      <c r="E462" s="1">
        <v>69</v>
      </c>
      <c r="F462" s="1" t="s">
        <v>22</v>
      </c>
      <c r="G462" s="1" t="s">
        <v>23</v>
      </c>
      <c r="H462" s="1" t="s">
        <v>446</v>
      </c>
      <c r="I462" s="1" t="s">
        <v>447</v>
      </c>
      <c r="J462" s="1" t="s">
        <v>448</v>
      </c>
      <c r="K462" s="2">
        <v>45213</v>
      </c>
      <c r="L462" s="2" t="str">
        <f t="shared" si="94"/>
        <v>October</v>
      </c>
      <c r="M462" s="1" t="s">
        <v>449</v>
      </c>
      <c r="N462" s="1" t="s">
        <v>192</v>
      </c>
      <c r="O462" s="1">
        <v>20.7</v>
      </c>
      <c r="P462" s="1">
        <v>5</v>
      </c>
      <c r="Q462" s="1">
        <f t="shared" si="95"/>
        <v>103.5</v>
      </c>
      <c r="R462" s="1" t="s">
        <v>51</v>
      </c>
      <c r="S462" s="1">
        <f t="shared" si="96"/>
        <v>15.524999999999999</v>
      </c>
      <c r="T462" s="1">
        <f t="shared" si="97"/>
        <v>87.974999999999994</v>
      </c>
      <c r="U462" s="1">
        <v>7</v>
      </c>
      <c r="V462" s="1">
        <f t="shared" si="98"/>
        <v>144.97499999999999</v>
      </c>
      <c r="W462" s="1">
        <v>57</v>
      </c>
      <c r="X462" s="2">
        <v>45218</v>
      </c>
      <c r="Y462" s="1" t="s">
        <v>450</v>
      </c>
      <c r="Z462" s="1">
        <f t="shared" si="99"/>
        <v>160.5</v>
      </c>
      <c r="AA462" s="1">
        <f t="shared" si="100"/>
        <v>5</v>
      </c>
      <c r="AB462" s="1" t="str">
        <f t="shared" si="101"/>
        <v>BeforeTime</v>
      </c>
      <c r="AC462" s="1">
        <f t="shared" si="102"/>
        <v>103.5</v>
      </c>
      <c r="AD462" s="7">
        <f t="shared" si="103"/>
        <v>0.15</v>
      </c>
      <c r="AE462" s="1">
        <f t="shared" si="104"/>
        <v>15.524999999999999</v>
      </c>
      <c r="AF462" s="1">
        <f t="shared" si="105"/>
        <v>72.525000000000006</v>
      </c>
    </row>
    <row r="463" spans="1:32" ht="14.25" customHeight="1" x14ac:dyDescent="0.3">
      <c r="A463" s="1" t="s">
        <v>500</v>
      </c>
      <c r="B463" s="1" t="s">
        <v>501</v>
      </c>
      <c r="C463" s="1" t="s">
        <v>502</v>
      </c>
      <c r="D463" s="1" t="str">
        <f t="shared" si="93"/>
        <v>Sarah Butler</v>
      </c>
      <c r="E463" s="1">
        <v>64</v>
      </c>
      <c r="F463" s="1" t="s">
        <v>22</v>
      </c>
      <c r="G463" s="1" t="s">
        <v>23</v>
      </c>
      <c r="H463" s="1" t="s">
        <v>503</v>
      </c>
      <c r="I463" s="1" t="s">
        <v>504</v>
      </c>
      <c r="J463" s="1" t="s">
        <v>1042</v>
      </c>
      <c r="K463" s="2">
        <v>45282</v>
      </c>
      <c r="L463" s="2" t="str">
        <f t="shared" si="94"/>
        <v>December</v>
      </c>
      <c r="M463" s="1" t="s">
        <v>1043</v>
      </c>
      <c r="N463" s="1" t="s">
        <v>977</v>
      </c>
      <c r="O463" s="1">
        <v>33.49</v>
      </c>
      <c r="P463" s="1">
        <v>3</v>
      </c>
      <c r="Q463" s="1">
        <f t="shared" si="95"/>
        <v>100.47</v>
      </c>
      <c r="R463" s="1" t="s">
        <v>51</v>
      </c>
      <c r="S463" s="1">
        <f t="shared" si="96"/>
        <v>15.070499999999999</v>
      </c>
      <c r="T463" s="1">
        <f t="shared" si="97"/>
        <v>85.399500000000003</v>
      </c>
      <c r="U463" s="1">
        <v>2</v>
      </c>
      <c r="V463" s="1">
        <f t="shared" si="98"/>
        <v>147.39949999999999</v>
      </c>
      <c r="W463" s="1">
        <v>62</v>
      </c>
      <c r="X463" s="2">
        <v>45284</v>
      </c>
      <c r="Y463" s="1" t="s">
        <v>1044</v>
      </c>
      <c r="Z463" s="1">
        <f t="shared" si="99"/>
        <v>162.47</v>
      </c>
      <c r="AA463" s="1">
        <f t="shared" si="100"/>
        <v>2</v>
      </c>
      <c r="AB463" s="1" t="str">
        <f t="shared" si="101"/>
        <v>Intime</v>
      </c>
      <c r="AC463" s="1">
        <f t="shared" si="102"/>
        <v>100.47</v>
      </c>
      <c r="AD463" s="7">
        <f t="shared" si="103"/>
        <v>0.15</v>
      </c>
      <c r="AE463" s="1">
        <f t="shared" si="104"/>
        <v>15.070499999999999</v>
      </c>
      <c r="AF463" s="1">
        <f t="shared" si="105"/>
        <v>77.070499999999996</v>
      </c>
    </row>
    <row r="464" spans="1:32" ht="14.25" customHeight="1" x14ac:dyDescent="0.3">
      <c r="A464" s="1" t="s">
        <v>681</v>
      </c>
      <c r="B464" s="1" t="s">
        <v>682</v>
      </c>
      <c r="C464" s="1" t="s">
        <v>683</v>
      </c>
      <c r="D464" s="1" t="str">
        <f t="shared" si="93"/>
        <v>Kim Blevins</v>
      </c>
      <c r="E464" s="1">
        <v>65</v>
      </c>
      <c r="F464" s="1" t="s">
        <v>34</v>
      </c>
      <c r="G464" s="1" t="s">
        <v>83</v>
      </c>
      <c r="H464" s="1" t="s">
        <v>684</v>
      </c>
      <c r="I464" s="1" t="s">
        <v>685</v>
      </c>
      <c r="J464" s="1" t="s">
        <v>1847</v>
      </c>
      <c r="K464" s="2">
        <v>45167</v>
      </c>
      <c r="L464" s="2" t="str">
        <f t="shared" si="94"/>
        <v>August</v>
      </c>
      <c r="M464" s="1" t="s">
        <v>1848</v>
      </c>
      <c r="N464" s="1" t="s">
        <v>977</v>
      </c>
      <c r="O464" s="1">
        <v>33.49</v>
      </c>
      <c r="P464" s="1">
        <v>3</v>
      </c>
      <c r="Q464" s="1">
        <f t="shared" si="95"/>
        <v>100.47</v>
      </c>
      <c r="R464" s="1" t="s">
        <v>89</v>
      </c>
      <c r="S464" s="1">
        <f t="shared" si="96"/>
        <v>10.047000000000001</v>
      </c>
      <c r="T464" s="1">
        <f t="shared" si="97"/>
        <v>90.423000000000002</v>
      </c>
      <c r="U464" s="1">
        <v>1</v>
      </c>
      <c r="V464" s="1">
        <f t="shared" si="98"/>
        <v>140.423</v>
      </c>
      <c r="W464" s="1">
        <v>50</v>
      </c>
      <c r="X464" s="2">
        <v>45172</v>
      </c>
      <c r="Y464" s="1" t="s">
        <v>1849</v>
      </c>
      <c r="Z464" s="1">
        <f t="shared" si="99"/>
        <v>150.47</v>
      </c>
      <c r="AA464" s="1">
        <f t="shared" si="100"/>
        <v>5</v>
      </c>
      <c r="AB464" s="1" t="str">
        <f t="shared" si="101"/>
        <v>Late</v>
      </c>
      <c r="AC464" s="1">
        <f t="shared" si="102"/>
        <v>100.47</v>
      </c>
      <c r="AD464" s="7">
        <f t="shared" si="103"/>
        <v>0.1</v>
      </c>
      <c r="AE464" s="1">
        <f t="shared" si="104"/>
        <v>10.047000000000001</v>
      </c>
      <c r="AF464" s="1">
        <f t="shared" si="105"/>
        <v>60.046999999999997</v>
      </c>
    </row>
    <row r="465" spans="1:32" ht="14.25" customHeight="1" x14ac:dyDescent="0.3">
      <c r="A465" s="1" t="s">
        <v>351</v>
      </c>
      <c r="B465" s="1" t="s">
        <v>352</v>
      </c>
      <c r="C465" s="1" t="s">
        <v>353</v>
      </c>
      <c r="D465" s="1" t="str">
        <f t="shared" si="93"/>
        <v>Robert Castillo</v>
      </c>
      <c r="E465" s="1">
        <v>32</v>
      </c>
      <c r="F465" s="1" t="s">
        <v>34</v>
      </c>
      <c r="G465" s="1" t="s">
        <v>161</v>
      </c>
      <c r="H465" s="1" t="s">
        <v>354</v>
      </c>
      <c r="I465" s="1" t="s">
        <v>355</v>
      </c>
      <c r="J465" s="1" t="s">
        <v>866</v>
      </c>
      <c r="K465" s="2">
        <v>45199</v>
      </c>
      <c r="L465" s="2" t="str">
        <f t="shared" si="94"/>
        <v>September</v>
      </c>
      <c r="M465" s="1" t="s">
        <v>867</v>
      </c>
      <c r="N465" s="1" t="s">
        <v>767</v>
      </c>
      <c r="O465" s="1">
        <v>20</v>
      </c>
      <c r="P465" s="1">
        <v>5</v>
      </c>
      <c r="Q465" s="1">
        <f t="shared" si="95"/>
        <v>100</v>
      </c>
      <c r="R465" s="1" t="s">
        <v>51</v>
      </c>
      <c r="S465" s="1">
        <f t="shared" si="96"/>
        <v>15</v>
      </c>
      <c r="T465" s="1">
        <f t="shared" si="97"/>
        <v>85</v>
      </c>
      <c r="U465" s="1">
        <v>7</v>
      </c>
      <c r="V465" s="1">
        <f t="shared" si="98"/>
        <v>125</v>
      </c>
      <c r="W465" s="1">
        <v>40</v>
      </c>
      <c r="X465" s="2">
        <v>45203</v>
      </c>
      <c r="Y465" s="1" t="s">
        <v>868</v>
      </c>
      <c r="Z465" s="1">
        <f t="shared" si="99"/>
        <v>140</v>
      </c>
      <c r="AA465" s="1">
        <f t="shared" si="100"/>
        <v>4</v>
      </c>
      <c r="AB465" s="1" t="str">
        <f t="shared" si="101"/>
        <v>BeforeTime</v>
      </c>
      <c r="AC465" s="1">
        <f t="shared" si="102"/>
        <v>100</v>
      </c>
      <c r="AD465" s="7">
        <f t="shared" si="103"/>
        <v>0.15</v>
      </c>
      <c r="AE465" s="1">
        <f t="shared" si="104"/>
        <v>15</v>
      </c>
      <c r="AF465" s="1">
        <f t="shared" si="105"/>
        <v>55</v>
      </c>
    </row>
    <row r="466" spans="1:32" ht="14.25" customHeight="1" x14ac:dyDescent="0.3">
      <c r="A466" s="1" t="s">
        <v>130</v>
      </c>
      <c r="B466" s="1" t="s">
        <v>131</v>
      </c>
      <c r="C466" s="1" t="s">
        <v>132</v>
      </c>
      <c r="D466" s="1" t="str">
        <f t="shared" si="93"/>
        <v>Kara Brennan</v>
      </c>
      <c r="E466" s="1">
        <v>25</v>
      </c>
      <c r="F466" s="1" t="s">
        <v>45</v>
      </c>
      <c r="G466" s="1" t="s">
        <v>133</v>
      </c>
      <c r="H466" s="1" t="s">
        <v>134</v>
      </c>
      <c r="I466" s="1" t="s">
        <v>135</v>
      </c>
      <c r="J466" s="1" t="s">
        <v>993</v>
      </c>
      <c r="K466" s="2">
        <v>45457</v>
      </c>
      <c r="L466" s="2" t="str">
        <f t="shared" si="94"/>
        <v>June</v>
      </c>
      <c r="M466" s="1" t="s">
        <v>994</v>
      </c>
      <c r="N466" s="1" t="s">
        <v>767</v>
      </c>
      <c r="O466" s="1">
        <v>20</v>
      </c>
      <c r="P466" s="1">
        <v>5</v>
      </c>
      <c r="Q466" s="1">
        <f t="shared" si="95"/>
        <v>100</v>
      </c>
      <c r="R466" s="1" t="s">
        <v>51</v>
      </c>
      <c r="S466" s="1">
        <f t="shared" si="96"/>
        <v>15</v>
      </c>
      <c r="T466" s="1">
        <f t="shared" si="97"/>
        <v>85</v>
      </c>
      <c r="U466" s="1">
        <v>6</v>
      </c>
      <c r="V466" s="1">
        <f t="shared" si="98"/>
        <v>121</v>
      </c>
      <c r="W466" s="1">
        <v>36</v>
      </c>
      <c r="X466" s="2">
        <v>45463</v>
      </c>
      <c r="Y466" s="1" t="s">
        <v>995</v>
      </c>
      <c r="Z466" s="1">
        <f t="shared" si="99"/>
        <v>136</v>
      </c>
      <c r="AA466" s="1">
        <f t="shared" si="100"/>
        <v>6</v>
      </c>
      <c r="AB466" s="1" t="str">
        <f t="shared" si="101"/>
        <v>Intime</v>
      </c>
      <c r="AC466" s="1">
        <f t="shared" si="102"/>
        <v>100</v>
      </c>
      <c r="AD466" s="7">
        <f t="shared" si="103"/>
        <v>0.15</v>
      </c>
      <c r="AE466" s="1">
        <f t="shared" si="104"/>
        <v>15</v>
      </c>
      <c r="AF466" s="1">
        <f t="shared" si="105"/>
        <v>51</v>
      </c>
    </row>
    <row r="467" spans="1:32" ht="14.25" customHeight="1" x14ac:dyDescent="0.3">
      <c r="A467" s="1" t="s">
        <v>887</v>
      </c>
      <c r="B467" s="1" t="s">
        <v>141</v>
      </c>
      <c r="C467" s="1" t="s">
        <v>888</v>
      </c>
      <c r="D467" s="1" t="str">
        <f t="shared" si="93"/>
        <v>Amy Griffin</v>
      </c>
      <c r="E467" s="1">
        <v>29</v>
      </c>
      <c r="F467" s="1" t="s">
        <v>22</v>
      </c>
      <c r="G467" s="1" t="s">
        <v>35</v>
      </c>
      <c r="H467" s="1" t="s">
        <v>889</v>
      </c>
      <c r="I467" s="1" t="s">
        <v>890</v>
      </c>
      <c r="J467" s="1" t="s">
        <v>1760</v>
      </c>
      <c r="K467" s="2">
        <v>45681</v>
      </c>
      <c r="L467" s="2" t="str">
        <f t="shared" si="94"/>
        <v>January</v>
      </c>
      <c r="M467" s="1" t="s">
        <v>1761</v>
      </c>
      <c r="N467" s="1" t="s">
        <v>107</v>
      </c>
      <c r="O467" s="1">
        <v>48.45</v>
      </c>
      <c r="P467" s="1">
        <v>2</v>
      </c>
      <c r="Q467" s="1">
        <f t="shared" si="95"/>
        <v>96.9</v>
      </c>
      <c r="R467" s="1" t="s">
        <v>51</v>
      </c>
      <c r="S467" s="1">
        <f t="shared" si="96"/>
        <v>14.535</v>
      </c>
      <c r="T467" s="1">
        <f t="shared" si="97"/>
        <v>82.365000000000009</v>
      </c>
      <c r="U467" s="1">
        <v>7</v>
      </c>
      <c r="V467" s="1">
        <f t="shared" si="98"/>
        <v>138.36500000000001</v>
      </c>
      <c r="W467" s="1">
        <v>56</v>
      </c>
      <c r="X467" s="2">
        <v>45687</v>
      </c>
      <c r="Y467" s="1" t="s">
        <v>1762</v>
      </c>
      <c r="Z467" s="1">
        <f t="shared" si="99"/>
        <v>152.9</v>
      </c>
      <c r="AA467" s="1">
        <f t="shared" si="100"/>
        <v>6</v>
      </c>
      <c r="AB467" s="1" t="str">
        <f t="shared" si="101"/>
        <v>BeforeTime</v>
      </c>
      <c r="AC467" s="1">
        <f t="shared" si="102"/>
        <v>96.9</v>
      </c>
      <c r="AD467" s="7">
        <f t="shared" si="103"/>
        <v>0.15</v>
      </c>
      <c r="AE467" s="1">
        <f t="shared" si="104"/>
        <v>14.535</v>
      </c>
      <c r="AF467" s="1">
        <f t="shared" si="105"/>
        <v>70.534999999999997</v>
      </c>
    </row>
    <row r="468" spans="1:32" ht="14.25" customHeight="1" x14ac:dyDescent="0.3">
      <c r="A468" s="1" t="s">
        <v>632</v>
      </c>
      <c r="B468" s="1" t="s">
        <v>141</v>
      </c>
      <c r="C468" s="1" t="s">
        <v>633</v>
      </c>
      <c r="D468" s="1" t="str">
        <f t="shared" si="93"/>
        <v>Amy Ellis</v>
      </c>
      <c r="E468" s="1">
        <v>44</v>
      </c>
      <c r="F468" s="1" t="s">
        <v>45</v>
      </c>
      <c r="G468" s="1" t="s">
        <v>83</v>
      </c>
      <c r="H468" s="1" t="s">
        <v>634</v>
      </c>
      <c r="I468" s="1" t="s">
        <v>635</v>
      </c>
      <c r="J468" s="1" t="s">
        <v>963</v>
      </c>
      <c r="K468" s="2">
        <v>45561</v>
      </c>
      <c r="L468" s="2" t="str">
        <f t="shared" si="94"/>
        <v>September</v>
      </c>
      <c r="M468" s="1" t="s">
        <v>964</v>
      </c>
      <c r="N468" s="1" t="s">
        <v>411</v>
      </c>
      <c r="O468" s="1">
        <v>44.5</v>
      </c>
      <c r="P468" s="1">
        <v>2</v>
      </c>
      <c r="Q468" s="1">
        <f t="shared" si="95"/>
        <v>89</v>
      </c>
      <c r="R468" s="1" t="s">
        <v>51</v>
      </c>
      <c r="S468" s="1">
        <f t="shared" si="96"/>
        <v>13.35</v>
      </c>
      <c r="T468" s="1">
        <f t="shared" si="97"/>
        <v>75.650000000000006</v>
      </c>
      <c r="U468" s="1">
        <v>5</v>
      </c>
      <c r="V468" s="1">
        <f t="shared" si="98"/>
        <v>127.65</v>
      </c>
      <c r="W468" s="1">
        <v>52</v>
      </c>
      <c r="X468" s="2">
        <v>45563</v>
      </c>
      <c r="Y468" s="1" t="s">
        <v>965</v>
      </c>
      <c r="Z468" s="1">
        <f t="shared" si="99"/>
        <v>141</v>
      </c>
      <c r="AA468" s="1">
        <f t="shared" si="100"/>
        <v>2</v>
      </c>
      <c r="AB468" s="1" t="str">
        <f t="shared" si="101"/>
        <v>BeforeTime</v>
      </c>
      <c r="AC468" s="1">
        <f t="shared" si="102"/>
        <v>89</v>
      </c>
      <c r="AD468" s="7">
        <f t="shared" si="103"/>
        <v>0.15</v>
      </c>
      <c r="AE468" s="1">
        <f t="shared" si="104"/>
        <v>13.35</v>
      </c>
      <c r="AF468" s="1">
        <f t="shared" si="105"/>
        <v>65.349999999999994</v>
      </c>
    </row>
    <row r="469" spans="1:32" ht="14.25" customHeight="1" x14ac:dyDescent="0.3">
      <c r="A469" s="1" t="s">
        <v>724</v>
      </c>
      <c r="B469" s="1" t="s">
        <v>725</v>
      </c>
      <c r="C469" s="1" t="s">
        <v>726</v>
      </c>
      <c r="D469" s="1" t="str">
        <f t="shared" si="93"/>
        <v>Melissa Levy</v>
      </c>
      <c r="E469" s="1">
        <v>30</v>
      </c>
      <c r="F469" s="1" t="s">
        <v>22</v>
      </c>
      <c r="G469" s="1" t="s">
        <v>152</v>
      </c>
      <c r="H469" s="1" t="s">
        <v>727</v>
      </c>
      <c r="I469" s="1" t="s">
        <v>728</v>
      </c>
      <c r="J469" s="1" t="s">
        <v>1079</v>
      </c>
      <c r="K469" s="2">
        <v>45320</v>
      </c>
      <c r="L469" s="2" t="str">
        <f t="shared" si="94"/>
        <v>January</v>
      </c>
      <c r="M469" s="1" t="s">
        <v>1080</v>
      </c>
      <c r="N469" s="1" t="s">
        <v>474</v>
      </c>
      <c r="O469" s="1">
        <v>87.09</v>
      </c>
      <c r="P469" s="1">
        <v>1</v>
      </c>
      <c r="Q469" s="1">
        <f t="shared" si="95"/>
        <v>87.09</v>
      </c>
      <c r="R469" s="1" t="s">
        <v>89</v>
      </c>
      <c r="S469" s="1">
        <f t="shared" si="96"/>
        <v>8.7090000000000014</v>
      </c>
      <c r="T469" s="1">
        <f t="shared" si="97"/>
        <v>78.381</v>
      </c>
      <c r="U469" s="1">
        <v>1</v>
      </c>
      <c r="V469" s="1">
        <f t="shared" si="98"/>
        <v>139.381</v>
      </c>
      <c r="W469" s="1">
        <v>61</v>
      </c>
      <c r="X469" s="2">
        <v>45321</v>
      </c>
      <c r="Y469" s="1" t="s">
        <v>1081</v>
      </c>
      <c r="Z469" s="1">
        <f t="shared" si="99"/>
        <v>148.09</v>
      </c>
      <c r="AA469" s="1">
        <f t="shared" si="100"/>
        <v>1</v>
      </c>
      <c r="AB469" s="1" t="str">
        <f t="shared" si="101"/>
        <v>Intime</v>
      </c>
      <c r="AC469" s="1">
        <f t="shared" si="102"/>
        <v>87.09</v>
      </c>
      <c r="AD469" s="7">
        <f t="shared" si="103"/>
        <v>0.1</v>
      </c>
      <c r="AE469" s="1">
        <f t="shared" si="104"/>
        <v>8.7090000000000014</v>
      </c>
      <c r="AF469" s="1">
        <f t="shared" si="105"/>
        <v>69.709000000000003</v>
      </c>
    </row>
    <row r="470" spans="1:32" ht="14.25" customHeight="1" x14ac:dyDescent="0.3">
      <c r="A470" s="1" t="s">
        <v>168</v>
      </c>
      <c r="B470" s="1" t="s">
        <v>169</v>
      </c>
      <c r="C470" s="1" t="s">
        <v>170</v>
      </c>
      <c r="D470" s="1" t="str">
        <f t="shared" si="93"/>
        <v>Gina Moreno</v>
      </c>
      <c r="E470" s="1">
        <v>36</v>
      </c>
      <c r="F470" s="1" t="s">
        <v>45</v>
      </c>
      <c r="G470" s="1" t="s">
        <v>133</v>
      </c>
      <c r="H470" s="1" t="s">
        <v>171</v>
      </c>
      <c r="I470" s="1" t="s">
        <v>172</v>
      </c>
      <c r="J470" s="1" t="s">
        <v>2028</v>
      </c>
      <c r="K470" s="2">
        <v>45182</v>
      </c>
      <c r="L470" s="2" t="str">
        <f t="shared" si="94"/>
        <v>September</v>
      </c>
      <c r="M470" s="1" t="s">
        <v>2029</v>
      </c>
      <c r="N470" s="1" t="s">
        <v>192</v>
      </c>
      <c r="O470" s="1">
        <v>20.7</v>
      </c>
      <c r="P470" s="1">
        <v>4</v>
      </c>
      <c r="Q470" s="1">
        <f t="shared" si="95"/>
        <v>82.8</v>
      </c>
      <c r="R470" s="1" t="s">
        <v>78</v>
      </c>
      <c r="S470" s="1">
        <f t="shared" si="96"/>
        <v>16.559999999999999</v>
      </c>
      <c r="T470" s="1">
        <f t="shared" si="97"/>
        <v>66.239999999999995</v>
      </c>
      <c r="U470" s="1">
        <v>1</v>
      </c>
      <c r="V470" s="1">
        <f t="shared" si="98"/>
        <v>127.24</v>
      </c>
      <c r="W470" s="1">
        <v>61</v>
      </c>
      <c r="X470" s="2">
        <v>45184</v>
      </c>
      <c r="Y470" s="1" t="s">
        <v>2030</v>
      </c>
      <c r="Z470" s="1">
        <f t="shared" si="99"/>
        <v>143.80000000000001</v>
      </c>
      <c r="AA470" s="1">
        <f t="shared" si="100"/>
        <v>2</v>
      </c>
      <c r="AB470" s="1" t="str">
        <f t="shared" si="101"/>
        <v>Late</v>
      </c>
      <c r="AC470" s="1">
        <f t="shared" si="102"/>
        <v>82.8</v>
      </c>
      <c r="AD470" s="7">
        <f t="shared" si="103"/>
        <v>0.2</v>
      </c>
      <c r="AE470" s="1">
        <f t="shared" si="104"/>
        <v>16.559999999999999</v>
      </c>
      <c r="AF470" s="1">
        <f t="shared" si="105"/>
        <v>77.56</v>
      </c>
    </row>
    <row r="471" spans="1:32" ht="14.25" customHeight="1" x14ac:dyDescent="0.3">
      <c r="A471" s="1" t="s">
        <v>1753</v>
      </c>
      <c r="B471" s="1" t="s">
        <v>1754</v>
      </c>
      <c r="C471" s="1" t="s">
        <v>388</v>
      </c>
      <c r="D471" s="1" t="str">
        <f t="shared" si="93"/>
        <v>Rachel Lopez</v>
      </c>
      <c r="E471" s="1">
        <v>57</v>
      </c>
      <c r="F471" s="1" t="s">
        <v>34</v>
      </c>
      <c r="G471" s="1" t="s">
        <v>83</v>
      </c>
      <c r="H471" s="1" t="s">
        <v>1755</v>
      </c>
      <c r="I471" s="1" t="s">
        <v>1756</v>
      </c>
      <c r="J471" s="1" t="s">
        <v>1757</v>
      </c>
      <c r="K471" s="2">
        <v>45333</v>
      </c>
      <c r="L471" s="2" t="str">
        <f t="shared" si="94"/>
        <v>February</v>
      </c>
      <c r="M471" s="1" t="s">
        <v>1758</v>
      </c>
      <c r="N471" s="1" t="s">
        <v>767</v>
      </c>
      <c r="O471" s="1">
        <v>20</v>
      </c>
      <c r="P471" s="1">
        <v>4</v>
      </c>
      <c r="Q471" s="1">
        <f t="shared" si="95"/>
        <v>80</v>
      </c>
      <c r="R471" s="1" t="s">
        <v>78</v>
      </c>
      <c r="S471" s="1">
        <f t="shared" si="96"/>
        <v>16</v>
      </c>
      <c r="T471" s="1">
        <f t="shared" si="97"/>
        <v>64</v>
      </c>
      <c r="U471" s="1">
        <v>1</v>
      </c>
      <c r="V471" s="1">
        <f t="shared" si="98"/>
        <v>115</v>
      </c>
      <c r="W471" s="1">
        <v>51</v>
      </c>
      <c r="X471" s="2">
        <v>45334</v>
      </c>
      <c r="Y471" s="1" t="s">
        <v>1759</v>
      </c>
      <c r="Z471" s="1">
        <f t="shared" si="99"/>
        <v>131</v>
      </c>
      <c r="AA471" s="1">
        <f t="shared" si="100"/>
        <v>1</v>
      </c>
      <c r="AB471" s="1" t="str">
        <f t="shared" si="101"/>
        <v>Intime</v>
      </c>
      <c r="AC471" s="1">
        <f t="shared" si="102"/>
        <v>80</v>
      </c>
      <c r="AD471" s="7">
        <f t="shared" si="103"/>
        <v>0.2</v>
      </c>
      <c r="AE471" s="1">
        <f t="shared" si="104"/>
        <v>16</v>
      </c>
      <c r="AF471" s="1">
        <f t="shared" si="105"/>
        <v>67</v>
      </c>
    </row>
    <row r="472" spans="1:32" ht="14.25" customHeight="1" x14ac:dyDescent="0.3">
      <c r="A472" s="1" t="s">
        <v>326</v>
      </c>
      <c r="B472" s="1" t="s">
        <v>327</v>
      </c>
      <c r="C472" s="1" t="s">
        <v>328</v>
      </c>
      <c r="D472" s="1" t="str">
        <f t="shared" si="93"/>
        <v>Julie Meyer</v>
      </c>
      <c r="E472" s="1">
        <v>23</v>
      </c>
      <c r="F472" s="1" t="s">
        <v>22</v>
      </c>
      <c r="G472" s="1" t="s">
        <v>23</v>
      </c>
      <c r="H472" s="1" t="s">
        <v>329</v>
      </c>
      <c r="I472" s="1" t="s">
        <v>330</v>
      </c>
      <c r="J472" s="1" t="s">
        <v>1375</v>
      </c>
      <c r="K472" s="2">
        <v>45659</v>
      </c>
      <c r="L472" s="2" t="str">
        <f t="shared" si="94"/>
        <v>January</v>
      </c>
      <c r="M472" s="1" t="s">
        <v>1376</v>
      </c>
      <c r="N472" s="1" t="s">
        <v>977</v>
      </c>
      <c r="O472" s="1">
        <v>33.49</v>
      </c>
      <c r="P472" s="1">
        <v>2</v>
      </c>
      <c r="Q472" s="1">
        <f t="shared" si="95"/>
        <v>66.98</v>
      </c>
      <c r="R472" s="1" t="s">
        <v>29</v>
      </c>
      <c r="S472" s="1">
        <f t="shared" si="96"/>
        <v>5.3584000000000005</v>
      </c>
      <c r="T472" s="1">
        <f t="shared" si="97"/>
        <v>61.621600000000001</v>
      </c>
      <c r="U472" s="1">
        <v>2</v>
      </c>
      <c r="V472" s="1">
        <f t="shared" si="98"/>
        <v>106.6216</v>
      </c>
      <c r="W472" s="1">
        <v>45</v>
      </c>
      <c r="X472" s="2">
        <v>45660</v>
      </c>
      <c r="Y472" s="1" t="s">
        <v>1377</v>
      </c>
      <c r="Z472" s="1">
        <f t="shared" si="99"/>
        <v>111.98</v>
      </c>
      <c r="AA472" s="1">
        <f t="shared" si="100"/>
        <v>1</v>
      </c>
      <c r="AB472" s="1" t="str">
        <f t="shared" si="101"/>
        <v>BeforeTime</v>
      </c>
      <c r="AC472" s="1">
        <f t="shared" si="102"/>
        <v>66.98</v>
      </c>
      <c r="AD472" s="7">
        <f t="shared" si="103"/>
        <v>0.08</v>
      </c>
      <c r="AE472" s="1">
        <f t="shared" si="104"/>
        <v>5.3584000000000005</v>
      </c>
      <c r="AF472" s="1">
        <f t="shared" si="105"/>
        <v>50.358400000000003</v>
      </c>
    </row>
    <row r="473" spans="1:32" ht="14.25" customHeight="1" x14ac:dyDescent="0.3">
      <c r="A473" s="1" t="s">
        <v>256</v>
      </c>
      <c r="B473" s="1" t="s">
        <v>257</v>
      </c>
      <c r="C473" s="1" t="s">
        <v>258</v>
      </c>
      <c r="D473" s="1" t="str">
        <f t="shared" si="93"/>
        <v>Taylor Davis</v>
      </c>
      <c r="E473" s="1">
        <v>54</v>
      </c>
      <c r="F473" s="1" t="s">
        <v>34</v>
      </c>
      <c r="G473" s="1" t="s">
        <v>23</v>
      </c>
      <c r="H473" s="1" t="s">
        <v>259</v>
      </c>
      <c r="I473" s="1" t="s">
        <v>260</v>
      </c>
      <c r="J473" s="1" t="s">
        <v>261</v>
      </c>
      <c r="K473" s="2">
        <v>45224</v>
      </c>
      <c r="L473" s="2" t="str">
        <f t="shared" si="94"/>
        <v>October</v>
      </c>
      <c r="M473" s="1" t="s">
        <v>262</v>
      </c>
      <c r="N473" s="1" t="s">
        <v>263</v>
      </c>
      <c r="O473" s="1">
        <v>62.42</v>
      </c>
      <c r="P473" s="1">
        <v>1</v>
      </c>
      <c r="Q473" s="1">
        <f t="shared" si="95"/>
        <v>62.42</v>
      </c>
      <c r="R473" s="1" t="s">
        <v>56</v>
      </c>
      <c r="S473" s="1">
        <f t="shared" si="96"/>
        <v>0</v>
      </c>
      <c r="T473" s="1">
        <f t="shared" si="97"/>
        <v>62.42</v>
      </c>
      <c r="U473" s="1">
        <v>3</v>
      </c>
      <c r="V473" s="1">
        <f t="shared" si="98"/>
        <v>120.42</v>
      </c>
      <c r="W473" s="1">
        <v>58</v>
      </c>
      <c r="X473" s="2">
        <v>45229</v>
      </c>
      <c r="Y473" s="1" t="s">
        <v>264</v>
      </c>
      <c r="Z473" s="1">
        <f t="shared" si="99"/>
        <v>120.42</v>
      </c>
      <c r="AA473" s="1">
        <f t="shared" si="100"/>
        <v>5</v>
      </c>
      <c r="AB473" s="1" t="str">
        <f t="shared" si="101"/>
        <v>Late</v>
      </c>
      <c r="AC473" s="1">
        <f t="shared" si="102"/>
        <v>62.42</v>
      </c>
      <c r="AD473" s="7">
        <f t="shared" si="103"/>
        <v>0</v>
      </c>
      <c r="AE473" s="1">
        <f t="shared" si="104"/>
        <v>0</v>
      </c>
      <c r="AF473" s="1">
        <f t="shared" si="105"/>
        <v>0</v>
      </c>
    </row>
    <row r="474" spans="1:32" ht="14.25" customHeight="1" x14ac:dyDescent="0.3">
      <c r="A474" s="1" t="s">
        <v>405</v>
      </c>
      <c r="B474" s="1" t="s">
        <v>221</v>
      </c>
      <c r="C474" s="1" t="s">
        <v>406</v>
      </c>
      <c r="D474" s="1" t="str">
        <f t="shared" si="93"/>
        <v>John Ramirez</v>
      </c>
      <c r="E474" s="1">
        <v>28</v>
      </c>
      <c r="F474" s="1" t="s">
        <v>45</v>
      </c>
      <c r="G474" s="1" t="s">
        <v>133</v>
      </c>
      <c r="H474" s="1" t="s">
        <v>407</v>
      </c>
      <c r="I474" s="1" t="s">
        <v>408</v>
      </c>
      <c r="J474" s="1" t="s">
        <v>593</v>
      </c>
      <c r="K474" s="2">
        <v>45322</v>
      </c>
      <c r="L474" s="2" t="str">
        <f t="shared" si="94"/>
        <v>January</v>
      </c>
      <c r="M474" s="1" t="s">
        <v>594</v>
      </c>
      <c r="N474" s="1" t="s">
        <v>263</v>
      </c>
      <c r="O474" s="1">
        <v>62.42</v>
      </c>
      <c r="P474" s="1">
        <v>1</v>
      </c>
      <c r="Q474" s="1">
        <f t="shared" si="95"/>
        <v>62.42</v>
      </c>
      <c r="R474" s="1" t="s">
        <v>78</v>
      </c>
      <c r="S474" s="1">
        <f t="shared" si="96"/>
        <v>12.484000000000002</v>
      </c>
      <c r="T474" s="1">
        <f t="shared" si="97"/>
        <v>49.936</v>
      </c>
      <c r="U474" s="1">
        <v>6</v>
      </c>
      <c r="V474" s="1">
        <f t="shared" si="98"/>
        <v>102.93600000000001</v>
      </c>
      <c r="W474" s="1">
        <v>53</v>
      </c>
      <c r="X474" s="2">
        <v>45329</v>
      </c>
      <c r="Y474" s="1" t="s">
        <v>595</v>
      </c>
      <c r="Z474" s="1">
        <f t="shared" si="99"/>
        <v>115.42</v>
      </c>
      <c r="AA474" s="1">
        <f t="shared" si="100"/>
        <v>7</v>
      </c>
      <c r="AB474" s="1" t="str">
        <f t="shared" si="101"/>
        <v>Late</v>
      </c>
      <c r="AC474" s="1">
        <f t="shared" si="102"/>
        <v>62.42</v>
      </c>
      <c r="AD474" s="7">
        <f t="shared" si="103"/>
        <v>0.2</v>
      </c>
      <c r="AE474" s="1">
        <f t="shared" si="104"/>
        <v>12.484000000000002</v>
      </c>
      <c r="AF474" s="1">
        <f t="shared" si="105"/>
        <v>65.484000000000009</v>
      </c>
    </row>
    <row r="475" spans="1:32" ht="14.25" customHeight="1" x14ac:dyDescent="0.3">
      <c r="A475" s="1" t="s">
        <v>1096</v>
      </c>
      <c r="B475" s="1" t="s">
        <v>1097</v>
      </c>
      <c r="C475" s="1" t="s">
        <v>1098</v>
      </c>
      <c r="D475" s="1" t="str">
        <f t="shared" si="93"/>
        <v>Gary Huff</v>
      </c>
      <c r="E475" s="1">
        <v>18</v>
      </c>
      <c r="F475" s="1" t="s">
        <v>22</v>
      </c>
      <c r="G475" s="1" t="s">
        <v>69</v>
      </c>
      <c r="H475" s="1" t="s">
        <v>1099</v>
      </c>
      <c r="I475" s="1" t="s">
        <v>1100</v>
      </c>
      <c r="J475" s="1" t="s">
        <v>1411</v>
      </c>
      <c r="K475" s="2">
        <v>45563</v>
      </c>
      <c r="L475" s="2" t="str">
        <f t="shared" si="94"/>
        <v>September</v>
      </c>
      <c r="M475" s="1" t="s">
        <v>1412</v>
      </c>
      <c r="N475" s="1" t="s">
        <v>263</v>
      </c>
      <c r="O475" s="1">
        <v>62.42</v>
      </c>
      <c r="P475" s="1">
        <v>1</v>
      </c>
      <c r="Q475" s="1">
        <f t="shared" si="95"/>
        <v>62.42</v>
      </c>
      <c r="R475" s="1" t="s">
        <v>29</v>
      </c>
      <c r="S475" s="1">
        <f t="shared" si="96"/>
        <v>4.9935999999999998</v>
      </c>
      <c r="T475" s="1">
        <f t="shared" si="97"/>
        <v>57.426400000000001</v>
      </c>
      <c r="U475" s="1">
        <v>3</v>
      </c>
      <c r="V475" s="1">
        <f t="shared" si="98"/>
        <v>103.4264</v>
      </c>
      <c r="W475" s="1">
        <v>46</v>
      </c>
      <c r="X475" s="2">
        <v>45565</v>
      </c>
      <c r="Y475" s="1" t="s">
        <v>1413</v>
      </c>
      <c r="Z475" s="1">
        <f t="shared" si="99"/>
        <v>108.42</v>
      </c>
      <c r="AA475" s="1">
        <f t="shared" si="100"/>
        <v>2</v>
      </c>
      <c r="AB475" s="1" t="str">
        <f t="shared" si="101"/>
        <v>BeforeTime</v>
      </c>
      <c r="AC475" s="1">
        <f t="shared" si="102"/>
        <v>62.42</v>
      </c>
      <c r="AD475" s="7">
        <f t="shared" si="103"/>
        <v>0.08</v>
      </c>
      <c r="AE475" s="1">
        <f t="shared" si="104"/>
        <v>4.9935999999999998</v>
      </c>
      <c r="AF475" s="1">
        <f t="shared" si="105"/>
        <v>50.993600000000001</v>
      </c>
    </row>
    <row r="476" spans="1:32" ht="14.25" customHeight="1" x14ac:dyDescent="0.3">
      <c r="A476" s="1" t="s">
        <v>1810</v>
      </c>
      <c r="B476" s="1" t="s">
        <v>1811</v>
      </c>
      <c r="C476" s="1" t="s">
        <v>187</v>
      </c>
      <c r="D476" s="1" t="str">
        <f t="shared" si="93"/>
        <v>Scott Jones</v>
      </c>
      <c r="E476" s="1">
        <v>29</v>
      </c>
      <c r="F476" s="1" t="s">
        <v>45</v>
      </c>
      <c r="G476" s="1" t="s">
        <v>83</v>
      </c>
      <c r="H476" s="1" t="s">
        <v>1812</v>
      </c>
      <c r="I476" s="1" t="s">
        <v>1813</v>
      </c>
      <c r="J476" s="1" t="s">
        <v>1814</v>
      </c>
      <c r="K476" s="2">
        <v>45537</v>
      </c>
      <c r="L476" s="2" t="str">
        <f t="shared" si="94"/>
        <v>September</v>
      </c>
      <c r="M476" s="1" t="s">
        <v>1815</v>
      </c>
      <c r="N476" s="1" t="s">
        <v>263</v>
      </c>
      <c r="O476" s="1">
        <v>62.42</v>
      </c>
      <c r="P476" s="1">
        <v>1</v>
      </c>
      <c r="Q476" s="1">
        <f t="shared" si="95"/>
        <v>62.42</v>
      </c>
      <c r="R476" s="1" t="s">
        <v>29</v>
      </c>
      <c r="S476" s="1">
        <f t="shared" si="96"/>
        <v>4.9935999999999998</v>
      </c>
      <c r="T476" s="1">
        <f t="shared" si="97"/>
        <v>57.426400000000001</v>
      </c>
      <c r="U476" s="1">
        <v>3</v>
      </c>
      <c r="V476" s="1">
        <f t="shared" si="98"/>
        <v>105.4264</v>
      </c>
      <c r="W476" s="1">
        <v>48</v>
      </c>
      <c r="X476" s="2">
        <v>45542</v>
      </c>
      <c r="Y476" s="1" t="s">
        <v>1816</v>
      </c>
      <c r="Z476" s="1">
        <f t="shared" si="99"/>
        <v>110.42</v>
      </c>
      <c r="AA476" s="1">
        <f t="shared" si="100"/>
        <v>5</v>
      </c>
      <c r="AB476" s="1" t="str">
        <f t="shared" si="101"/>
        <v>Late</v>
      </c>
      <c r="AC476" s="1">
        <f t="shared" si="102"/>
        <v>62.42</v>
      </c>
      <c r="AD476" s="7">
        <f t="shared" si="103"/>
        <v>0.08</v>
      </c>
      <c r="AE476" s="1">
        <f t="shared" si="104"/>
        <v>4.9935999999999998</v>
      </c>
      <c r="AF476" s="1">
        <f t="shared" si="105"/>
        <v>52.993600000000001</v>
      </c>
    </row>
    <row r="477" spans="1:32" ht="14.25" customHeight="1" x14ac:dyDescent="0.3">
      <c r="A477" s="1" t="s">
        <v>202</v>
      </c>
      <c r="B477" s="1" t="s">
        <v>203</v>
      </c>
      <c r="C477" s="1" t="s">
        <v>204</v>
      </c>
      <c r="D477" s="1" t="str">
        <f t="shared" si="93"/>
        <v>Christian Clayton</v>
      </c>
      <c r="E477" s="1">
        <v>39</v>
      </c>
      <c r="F477" s="1" t="s">
        <v>34</v>
      </c>
      <c r="G477" s="1" t="s">
        <v>152</v>
      </c>
      <c r="H477" s="1" t="s">
        <v>205</v>
      </c>
      <c r="I477" s="1" t="s">
        <v>206</v>
      </c>
      <c r="J477" s="1" t="s">
        <v>1288</v>
      </c>
      <c r="K477" s="2">
        <v>45366</v>
      </c>
      <c r="L477" s="2" t="str">
        <f t="shared" si="94"/>
        <v>March</v>
      </c>
      <c r="M477" s="1" t="s">
        <v>1289</v>
      </c>
      <c r="N477" s="1" t="s">
        <v>192</v>
      </c>
      <c r="O477" s="1">
        <v>20.7</v>
      </c>
      <c r="P477" s="1">
        <v>3</v>
      </c>
      <c r="Q477" s="1">
        <f t="shared" si="95"/>
        <v>62.099999999999994</v>
      </c>
      <c r="R477" s="1" t="s">
        <v>56</v>
      </c>
      <c r="S477" s="1">
        <f t="shared" si="96"/>
        <v>0</v>
      </c>
      <c r="T477" s="1">
        <f t="shared" si="97"/>
        <v>62.099999999999994</v>
      </c>
      <c r="U477" s="1">
        <v>1</v>
      </c>
      <c r="V477" s="1">
        <f t="shared" si="98"/>
        <v>129.1</v>
      </c>
      <c r="W477" s="1">
        <v>67</v>
      </c>
      <c r="X477" s="2">
        <v>45372</v>
      </c>
      <c r="Y477" s="1" t="s">
        <v>1290</v>
      </c>
      <c r="Z477" s="1">
        <f t="shared" si="99"/>
        <v>129.1</v>
      </c>
      <c r="AA477" s="1">
        <f t="shared" si="100"/>
        <v>6</v>
      </c>
      <c r="AB477" s="1" t="str">
        <f t="shared" si="101"/>
        <v>Late</v>
      </c>
      <c r="AC477" s="1">
        <f t="shared" si="102"/>
        <v>62.099999999999994</v>
      </c>
      <c r="AD477" s="7">
        <f t="shared" si="103"/>
        <v>0</v>
      </c>
      <c r="AE477" s="1">
        <f t="shared" si="104"/>
        <v>0</v>
      </c>
      <c r="AF477" s="1">
        <f t="shared" si="105"/>
        <v>0</v>
      </c>
    </row>
    <row r="478" spans="1:32" ht="14.25" customHeight="1" x14ac:dyDescent="0.3">
      <c r="A478" s="1" t="s">
        <v>185</v>
      </c>
      <c r="B478" s="1" t="s">
        <v>186</v>
      </c>
      <c r="C478" s="1" t="s">
        <v>187</v>
      </c>
      <c r="D478" s="1" t="str">
        <f t="shared" si="93"/>
        <v>Traci Jones</v>
      </c>
      <c r="E478" s="1">
        <v>34</v>
      </c>
      <c r="F478" s="1" t="s">
        <v>22</v>
      </c>
      <c r="G478" s="1" t="s">
        <v>83</v>
      </c>
      <c r="H478" s="1" t="s">
        <v>188</v>
      </c>
      <c r="I478" s="1" t="s">
        <v>189</v>
      </c>
      <c r="J478" s="1" t="s">
        <v>1671</v>
      </c>
      <c r="K478" s="2">
        <v>45243</v>
      </c>
      <c r="L478" s="2" t="str">
        <f t="shared" si="94"/>
        <v>November</v>
      </c>
      <c r="M478" s="1" t="s">
        <v>1672</v>
      </c>
      <c r="N478" s="1" t="s">
        <v>192</v>
      </c>
      <c r="O478" s="1">
        <v>20.7</v>
      </c>
      <c r="P478" s="1">
        <v>3</v>
      </c>
      <c r="Q478" s="1">
        <f t="shared" si="95"/>
        <v>62.099999999999994</v>
      </c>
      <c r="R478" s="1" t="s">
        <v>29</v>
      </c>
      <c r="S478" s="1">
        <f t="shared" si="96"/>
        <v>4.968</v>
      </c>
      <c r="T478" s="1">
        <f t="shared" si="97"/>
        <v>57.131999999999991</v>
      </c>
      <c r="U478" s="1">
        <v>5</v>
      </c>
      <c r="V478" s="1">
        <f t="shared" si="98"/>
        <v>103.13199999999999</v>
      </c>
      <c r="W478" s="1">
        <v>46</v>
      </c>
      <c r="X478" s="2">
        <v>45245</v>
      </c>
      <c r="Y478" s="1" t="s">
        <v>1673</v>
      </c>
      <c r="Z478" s="1">
        <f t="shared" si="99"/>
        <v>108.1</v>
      </c>
      <c r="AA478" s="1">
        <f t="shared" si="100"/>
        <v>2</v>
      </c>
      <c r="AB478" s="1" t="str">
        <f t="shared" si="101"/>
        <v>BeforeTime</v>
      </c>
      <c r="AC478" s="1">
        <f t="shared" si="102"/>
        <v>62.099999999999994</v>
      </c>
      <c r="AD478" s="7">
        <f t="shared" si="103"/>
        <v>0.08</v>
      </c>
      <c r="AE478" s="1">
        <f t="shared" si="104"/>
        <v>4.968</v>
      </c>
      <c r="AF478" s="1">
        <f t="shared" si="105"/>
        <v>50.968000000000004</v>
      </c>
    </row>
    <row r="479" spans="1:32" ht="14.25" customHeight="1" x14ac:dyDescent="0.3">
      <c r="A479" s="1" t="s">
        <v>1450</v>
      </c>
      <c r="B479" s="1" t="s">
        <v>266</v>
      </c>
      <c r="C479" s="1" t="s">
        <v>1451</v>
      </c>
      <c r="D479" s="1" t="str">
        <f t="shared" si="93"/>
        <v>Lauren Lane</v>
      </c>
      <c r="E479" s="1">
        <v>30</v>
      </c>
      <c r="F479" s="1" t="s">
        <v>22</v>
      </c>
      <c r="G479" s="1" t="s">
        <v>213</v>
      </c>
      <c r="H479" s="1" t="s">
        <v>1452</v>
      </c>
      <c r="I479" s="1" t="s">
        <v>1453</v>
      </c>
      <c r="J479" s="1" t="s">
        <v>1801</v>
      </c>
      <c r="K479" s="2">
        <v>45695</v>
      </c>
      <c r="L479" s="2" t="str">
        <f t="shared" si="94"/>
        <v>February</v>
      </c>
      <c r="M479" s="1" t="s">
        <v>1802</v>
      </c>
      <c r="N479" s="1" t="s">
        <v>767</v>
      </c>
      <c r="O479" s="1">
        <v>20</v>
      </c>
      <c r="P479" s="1">
        <v>3</v>
      </c>
      <c r="Q479" s="1">
        <f t="shared" si="95"/>
        <v>60</v>
      </c>
      <c r="R479" s="1" t="s">
        <v>89</v>
      </c>
      <c r="S479" s="1">
        <f t="shared" si="96"/>
        <v>6</v>
      </c>
      <c r="T479" s="1">
        <f t="shared" si="97"/>
        <v>54</v>
      </c>
      <c r="U479" s="1">
        <v>7</v>
      </c>
      <c r="V479" s="1">
        <f t="shared" si="98"/>
        <v>119</v>
      </c>
      <c r="W479" s="1">
        <v>65</v>
      </c>
      <c r="X479" s="2">
        <v>45701</v>
      </c>
      <c r="Y479" s="1" t="s">
        <v>1803</v>
      </c>
      <c r="Z479" s="1">
        <f t="shared" si="99"/>
        <v>125</v>
      </c>
      <c r="AA479" s="1">
        <f t="shared" si="100"/>
        <v>6</v>
      </c>
      <c r="AB479" s="1" t="str">
        <f t="shared" si="101"/>
        <v>BeforeTime</v>
      </c>
      <c r="AC479" s="1">
        <f t="shared" si="102"/>
        <v>60</v>
      </c>
      <c r="AD479" s="7">
        <f t="shared" si="103"/>
        <v>0.1</v>
      </c>
      <c r="AE479" s="1">
        <f t="shared" si="104"/>
        <v>6</v>
      </c>
      <c r="AF479" s="1">
        <f t="shared" si="105"/>
        <v>71</v>
      </c>
    </row>
    <row r="480" spans="1:32" ht="14.25" customHeight="1" x14ac:dyDescent="0.3">
      <c r="A480" s="1" t="s">
        <v>100</v>
      </c>
      <c r="B480" s="1" t="s">
        <v>101</v>
      </c>
      <c r="C480" s="1" t="s">
        <v>102</v>
      </c>
      <c r="D480" s="1" t="str">
        <f t="shared" si="93"/>
        <v>Debra Rodriguez</v>
      </c>
      <c r="E480" s="1">
        <v>48</v>
      </c>
      <c r="F480" s="1" t="s">
        <v>45</v>
      </c>
      <c r="G480" s="1" t="s">
        <v>35</v>
      </c>
      <c r="H480" s="1" t="s">
        <v>103</v>
      </c>
      <c r="I480" s="1" t="s">
        <v>104</v>
      </c>
      <c r="J480" s="1" t="s">
        <v>105</v>
      </c>
      <c r="K480" s="2">
        <v>45282</v>
      </c>
      <c r="L480" s="2" t="str">
        <f t="shared" si="94"/>
        <v>December</v>
      </c>
      <c r="M480" s="1" t="s">
        <v>106</v>
      </c>
      <c r="N480" s="1" t="s">
        <v>107</v>
      </c>
      <c r="O480" s="1">
        <v>48.45</v>
      </c>
      <c r="P480" s="1">
        <v>1</v>
      </c>
      <c r="Q480" s="1">
        <f t="shared" si="95"/>
        <v>48.45</v>
      </c>
      <c r="R480" s="1" t="s">
        <v>51</v>
      </c>
      <c r="S480" s="1">
        <f t="shared" si="96"/>
        <v>7.2675000000000001</v>
      </c>
      <c r="T480" s="1">
        <f t="shared" si="97"/>
        <v>41.182500000000005</v>
      </c>
      <c r="U480" s="1">
        <v>7</v>
      </c>
      <c r="V480" s="1">
        <f t="shared" si="98"/>
        <v>100.1825</v>
      </c>
      <c r="W480" s="1">
        <v>59</v>
      </c>
      <c r="X480" s="2">
        <v>45287</v>
      </c>
      <c r="Y480" s="1" t="s">
        <v>108</v>
      </c>
      <c r="Z480" s="1">
        <f t="shared" si="99"/>
        <v>107.45</v>
      </c>
      <c r="AA480" s="1">
        <f t="shared" si="100"/>
        <v>5</v>
      </c>
      <c r="AB480" s="1" t="str">
        <f t="shared" si="101"/>
        <v>BeforeTime</v>
      </c>
      <c r="AC480" s="1">
        <f t="shared" si="102"/>
        <v>48.45</v>
      </c>
      <c r="AD480" s="7">
        <f t="shared" si="103"/>
        <v>0.15</v>
      </c>
      <c r="AE480" s="1">
        <f t="shared" si="104"/>
        <v>7.2675000000000001</v>
      </c>
      <c r="AF480" s="1">
        <f t="shared" si="105"/>
        <v>66.267499999999998</v>
      </c>
    </row>
    <row r="481" spans="1:32" ht="14.25" customHeight="1" x14ac:dyDescent="0.3">
      <c r="A481" s="1" t="s">
        <v>286</v>
      </c>
      <c r="B481" s="1" t="s">
        <v>287</v>
      </c>
      <c r="C481" s="1" t="s">
        <v>288</v>
      </c>
      <c r="D481" s="1" t="str">
        <f t="shared" si="93"/>
        <v>Heather Schneider</v>
      </c>
      <c r="E481" s="1">
        <v>48</v>
      </c>
      <c r="F481" s="1" t="s">
        <v>34</v>
      </c>
      <c r="G481" s="1" t="s">
        <v>83</v>
      </c>
      <c r="H481" s="1" t="s">
        <v>289</v>
      </c>
      <c r="I481" s="1" t="s">
        <v>290</v>
      </c>
      <c r="J481" s="1" t="s">
        <v>603</v>
      </c>
      <c r="K481" s="2">
        <v>45505</v>
      </c>
      <c r="L481" s="2" t="str">
        <f t="shared" si="94"/>
        <v>August</v>
      </c>
      <c r="M481" s="1" t="s">
        <v>604</v>
      </c>
      <c r="N481" s="1" t="s">
        <v>107</v>
      </c>
      <c r="O481" s="1">
        <v>48.45</v>
      </c>
      <c r="P481" s="1">
        <v>1</v>
      </c>
      <c r="Q481" s="1">
        <f t="shared" si="95"/>
        <v>48.45</v>
      </c>
      <c r="R481" s="1" t="s">
        <v>51</v>
      </c>
      <c r="S481" s="1">
        <f t="shared" si="96"/>
        <v>7.2675000000000001</v>
      </c>
      <c r="T481" s="1">
        <f t="shared" si="97"/>
        <v>41.182500000000005</v>
      </c>
      <c r="U481" s="1">
        <v>6</v>
      </c>
      <c r="V481" s="1">
        <f t="shared" si="98"/>
        <v>107.1825</v>
      </c>
      <c r="W481" s="1">
        <v>66</v>
      </c>
      <c r="X481" s="2">
        <v>45512</v>
      </c>
      <c r="Y481" s="1" t="s">
        <v>605</v>
      </c>
      <c r="Z481" s="1">
        <f t="shared" si="99"/>
        <v>114.45</v>
      </c>
      <c r="AA481" s="1">
        <f t="shared" si="100"/>
        <v>7</v>
      </c>
      <c r="AB481" s="1" t="str">
        <f t="shared" si="101"/>
        <v>Late</v>
      </c>
      <c r="AC481" s="1">
        <f t="shared" si="102"/>
        <v>48.45</v>
      </c>
      <c r="AD481" s="7">
        <f t="shared" si="103"/>
        <v>0.15</v>
      </c>
      <c r="AE481" s="1">
        <f t="shared" si="104"/>
        <v>7.2675000000000001</v>
      </c>
      <c r="AF481" s="1">
        <f t="shared" si="105"/>
        <v>73.267499999999998</v>
      </c>
    </row>
    <row r="482" spans="1:32" ht="14.25" customHeight="1" x14ac:dyDescent="0.3">
      <c r="A482" s="1" t="s">
        <v>91</v>
      </c>
      <c r="B482" s="1" t="s">
        <v>92</v>
      </c>
      <c r="C482" s="1" t="s">
        <v>93</v>
      </c>
      <c r="D482" s="1" t="str">
        <f t="shared" si="93"/>
        <v>Marcus Valenzuela</v>
      </c>
      <c r="E482" s="1">
        <v>39</v>
      </c>
      <c r="F482" s="1" t="s">
        <v>22</v>
      </c>
      <c r="G482" s="1" t="s">
        <v>23</v>
      </c>
      <c r="H482" s="1" t="s">
        <v>94</v>
      </c>
      <c r="I482" s="1" t="s">
        <v>95</v>
      </c>
      <c r="J482" s="1" t="s">
        <v>612</v>
      </c>
      <c r="K482" s="2">
        <v>45227</v>
      </c>
      <c r="L482" s="2" t="str">
        <f t="shared" si="94"/>
        <v>October</v>
      </c>
      <c r="M482" s="1" t="s">
        <v>613</v>
      </c>
      <c r="N482" s="1" t="s">
        <v>107</v>
      </c>
      <c r="O482" s="1">
        <v>48.45</v>
      </c>
      <c r="P482" s="1">
        <v>1</v>
      </c>
      <c r="Q482" s="1">
        <f t="shared" si="95"/>
        <v>48.45</v>
      </c>
      <c r="R482" s="1" t="s">
        <v>78</v>
      </c>
      <c r="S482" s="1">
        <f t="shared" si="96"/>
        <v>9.6900000000000013</v>
      </c>
      <c r="T482" s="1">
        <f t="shared" si="97"/>
        <v>38.760000000000005</v>
      </c>
      <c r="U482" s="1">
        <v>4</v>
      </c>
      <c r="V482" s="1">
        <f t="shared" si="98"/>
        <v>104.76</v>
      </c>
      <c r="W482" s="1">
        <v>66</v>
      </c>
      <c r="X482" s="2">
        <v>45228</v>
      </c>
      <c r="Y482" s="1" t="s">
        <v>614</v>
      </c>
      <c r="Z482" s="1">
        <f t="shared" si="99"/>
        <v>114.45</v>
      </c>
      <c r="AA482" s="1">
        <f t="shared" si="100"/>
        <v>1</v>
      </c>
      <c r="AB482" s="1" t="str">
        <f t="shared" si="101"/>
        <v>BeforeTime</v>
      </c>
      <c r="AC482" s="1">
        <f t="shared" si="102"/>
        <v>48.45</v>
      </c>
      <c r="AD482" s="7">
        <f t="shared" si="103"/>
        <v>0.2</v>
      </c>
      <c r="AE482" s="1">
        <f t="shared" si="104"/>
        <v>9.6900000000000013</v>
      </c>
      <c r="AF482" s="1">
        <f t="shared" si="105"/>
        <v>75.69</v>
      </c>
    </row>
    <row r="483" spans="1:32" ht="14.25" customHeight="1" x14ac:dyDescent="0.3">
      <c r="A483" s="1" t="s">
        <v>664</v>
      </c>
      <c r="B483" s="1" t="s">
        <v>665</v>
      </c>
      <c r="C483" s="1" t="s">
        <v>666</v>
      </c>
      <c r="D483" s="1" t="str">
        <f t="shared" si="93"/>
        <v>Christy Chang</v>
      </c>
      <c r="E483" s="1">
        <v>38</v>
      </c>
      <c r="F483" s="1" t="s">
        <v>34</v>
      </c>
      <c r="G483" s="1" t="s">
        <v>213</v>
      </c>
      <c r="H483" s="1" t="s">
        <v>667</v>
      </c>
      <c r="I483" s="1" t="s">
        <v>668</v>
      </c>
      <c r="J483" s="1" t="s">
        <v>1601</v>
      </c>
      <c r="K483" s="2">
        <v>45059</v>
      </c>
      <c r="L483" s="2" t="str">
        <f t="shared" si="94"/>
        <v>May</v>
      </c>
      <c r="M483" s="1" t="s">
        <v>1602</v>
      </c>
      <c r="N483" s="1" t="s">
        <v>107</v>
      </c>
      <c r="O483" s="1">
        <v>48.45</v>
      </c>
      <c r="P483" s="1">
        <v>1</v>
      </c>
      <c r="Q483" s="1">
        <f t="shared" si="95"/>
        <v>48.45</v>
      </c>
      <c r="R483" s="1" t="s">
        <v>89</v>
      </c>
      <c r="S483" s="1">
        <f t="shared" si="96"/>
        <v>4.8450000000000006</v>
      </c>
      <c r="T483" s="1">
        <f t="shared" si="97"/>
        <v>43.605000000000004</v>
      </c>
      <c r="U483" s="1">
        <v>2</v>
      </c>
      <c r="V483" s="1">
        <f t="shared" si="98"/>
        <v>84.605000000000004</v>
      </c>
      <c r="W483" s="1">
        <v>41</v>
      </c>
      <c r="X483" s="2">
        <v>45062</v>
      </c>
      <c r="Y483" s="1" t="s">
        <v>1603</v>
      </c>
      <c r="Z483" s="1">
        <f t="shared" si="99"/>
        <v>89.45</v>
      </c>
      <c r="AA483" s="1">
        <f t="shared" si="100"/>
        <v>3</v>
      </c>
      <c r="AB483" s="1" t="str">
        <f t="shared" si="101"/>
        <v>Late</v>
      </c>
      <c r="AC483" s="1">
        <f t="shared" si="102"/>
        <v>48.45</v>
      </c>
      <c r="AD483" s="7">
        <f t="shared" si="103"/>
        <v>0.1</v>
      </c>
      <c r="AE483" s="1">
        <f t="shared" si="104"/>
        <v>4.8450000000000006</v>
      </c>
      <c r="AF483" s="1">
        <f t="shared" si="105"/>
        <v>45.844999999999999</v>
      </c>
    </row>
    <row r="484" spans="1:32" ht="14.25" customHeight="1" x14ac:dyDescent="0.3">
      <c r="A484" s="1" t="s">
        <v>1720</v>
      </c>
      <c r="B484" s="1" t="s">
        <v>1721</v>
      </c>
      <c r="C484" s="1" t="s">
        <v>361</v>
      </c>
      <c r="D484" s="1" t="str">
        <f t="shared" si="93"/>
        <v>Katie Hicks</v>
      </c>
      <c r="E484" s="1">
        <v>34</v>
      </c>
      <c r="F484" s="1" t="s">
        <v>45</v>
      </c>
      <c r="G484" s="1" t="s">
        <v>152</v>
      </c>
      <c r="H484" s="1" t="s">
        <v>1722</v>
      </c>
      <c r="I484" s="1" t="s">
        <v>1723</v>
      </c>
      <c r="J484" s="1" t="s">
        <v>1747</v>
      </c>
      <c r="K484" s="2">
        <v>45449</v>
      </c>
      <c r="L484" s="2" t="str">
        <f t="shared" si="94"/>
        <v>June</v>
      </c>
      <c r="M484" s="1" t="s">
        <v>1748</v>
      </c>
      <c r="N484" s="1" t="s">
        <v>107</v>
      </c>
      <c r="O484" s="1">
        <v>48.45</v>
      </c>
      <c r="P484" s="1">
        <v>1</v>
      </c>
      <c r="Q484" s="1">
        <f t="shared" si="95"/>
        <v>48.45</v>
      </c>
      <c r="R484" s="1" t="s">
        <v>89</v>
      </c>
      <c r="S484" s="1">
        <f t="shared" si="96"/>
        <v>4.8450000000000006</v>
      </c>
      <c r="T484" s="1">
        <f t="shared" si="97"/>
        <v>43.605000000000004</v>
      </c>
      <c r="U484" s="1">
        <v>5</v>
      </c>
      <c r="V484" s="1">
        <f t="shared" si="98"/>
        <v>81.605000000000004</v>
      </c>
      <c r="W484" s="1">
        <v>38</v>
      </c>
      <c r="X484" s="2">
        <v>45456</v>
      </c>
      <c r="Y484" s="1" t="s">
        <v>1749</v>
      </c>
      <c r="Z484" s="1">
        <f t="shared" si="99"/>
        <v>86.45</v>
      </c>
      <c r="AA484" s="1">
        <f t="shared" si="100"/>
        <v>7</v>
      </c>
      <c r="AB484" s="1" t="str">
        <f t="shared" si="101"/>
        <v>Late</v>
      </c>
      <c r="AC484" s="1">
        <f t="shared" si="102"/>
        <v>48.45</v>
      </c>
      <c r="AD484" s="7">
        <f t="shared" si="103"/>
        <v>0.1</v>
      </c>
      <c r="AE484" s="1">
        <f t="shared" si="104"/>
        <v>4.8450000000000006</v>
      </c>
      <c r="AF484" s="1">
        <f t="shared" si="105"/>
        <v>42.844999999999999</v>
      </c>
    </row>
    <row r="485" spans="1:32" ht="14.25" customHeight="1" x14ac:dyDescent="0.3">
      <c r="A485" s="1" t="s">
        <v>1214</v>
      </c>
      <c r="B485" s="1" t="s">
        <v>1215</v>
      </c>
      <c r="C485" s="1" t="s">
        <v>1216</v>
      </c>
      <c r="D485" s="1" t="str">
        <f t="shared" si="93"/>
        <v>Jessica Ruiz</v>
      </c>
      <c r="E485" s="1">
        <v>19</v>
      </c>
      <c r="F485" s="1" t="s">
        <v>34</v>
      </c>
      <c r="G485" s="1" t="s">
        <v>69</v>
      </c>
      <c r="H485" s="1" t="s">
        <v>1217</v>
      </c>
      <c r="I485" s="1" t="s">
        <v>1218</v>
      </c>
      <c r="J485" s="1" t="s">
        <v>1423</v>
      </c>
      <c r="K485" s="2">
        <v>45272</v>
      </c>
      <c r="L485" s="2" t="str">
        <f t="shared" si="94"/>
        <v>December</v>
      </c>
      <c r="M485" s="1" t="s">
        <v>1424</v>
      </c>
      <c r="N485" s="1" t="s">
        <v>411</v>
      </c>
      <c r="O485" s="1">
        <v>44.5</v>
      </c>
      <c r="P485" s="1">
        <v>1</v>
      </c>
      <c r="Q485" s="1">
        <f t="shared" si="95"/>
        <v>44.5</v>
      </c>
      <c r="R485" s="1" t="s">
        <v>89</v>
      </c>
      <c r="S485" s="1">
        <f t="shared" si="96"/>
        <v>4.45</v>
      </c>
      <c r="T485" s="1">
        <f t="shared" si="97"/>
        <v>40.049999999999997</v>
      </c>
      <c r="U485" s="1">
        <v>4</v>
      </c>
      <c r="V485" s="1">
        <f t="shared" si="98"/>
        <v>89.05</v>
      </c>
      <c r="W485" s="1">
        <v>49</v>
      </c>
      <c r="X485" s="2">
        <v>45278</v>
      </c>
      <c r="Y485" s="1" t="s">
        <v>1425</v>
      </c>
      <c r="Z485" s="1">
        <f t="shared" si="99"/>
        <v>93.5</v>
      </c>
      <c r="AA485" s="1">
        <f t="shared" si="100"/>
        <v>6</v>
      </c>
      <c r="AB485" s="1" t="str">
        <f t="shared" si="101"/>
        <v>Late</v>
      </c>
      <c r="AC485" s="1">
        <f t="shared" si="102"/>
        <v>44.5</v>
      </c>
      <c r="AD485" s="7">
        <f t="shared" si="103"/>
        <v>0.1</v>
      </c>
      <c r="AE485" s="1">
        <f t="shared" si="104"/>
        <v>4.45</v>
      </c>
      <c r="AF485" s="1">
        <f t="shared" si="105"/>
        <v>53.45</v>
      </c>
    </row>
    <row r="486" spans="1:32" ht="14.25" customHeight="1" x14ac:dyDescent="0.3">
      <c r="A486" s="1" t="s">
        <v>342</v>
      </c>
      <c r="B486" s="1" t="s">
        <v>343</v>
      </c>
      <c r="C486" s="1" t="s">
        <v>344</v>
      </c>
      <c r="D486" s="1" t="str">
        <f t="shared" si="93"/>
        <v>Donna Oneill</v>
      </c>
      <c r="E486" s="1">
        <v>70</v>
      </c>
      <c r="F486" s="1" t="s">
        <v>22</v>
      </c>
      <c r="G486" s="1" t="s">
        <v>161</v>
      </c>
      <c r="H486" s="1" t="s">
        <v>345</v>
      </c>
      <c r="I486" s="1" t="s">
        <v>346</v>
      </c>
      <c r="J486" s="1" t="s">
        <v>1665</v>
      </c>
      <c r="K486" s="2">
        <v>45270</v>
      </c>
      <c r="L486" s="2" t="str">
        <f t="shared" si="94"/>
        <v>December</v>
      </c>
      <c r="M486" s="1" t="s">
        <v>1666</v>
      </c>
      <c r="N486" s="1" t="s">
        <v>411</v>
      </c>
      <c r="O486" s="1">
        <v>44.5</v>
      </c>
      <c r="P486" s="1">
        <v>1</v>
      </c>
      <c r="Q486" s="1">
        <f t="shared" si="95"/>
        <v>44.5</v>
      </c>
      <c r="R486" s="1" t="s">
        <v>56</v>
      </c>
      <c r="S486" s="1">
        <f t="shared" si="96"/>
        <v>0</v>
      </c>
      <c r="T486" s="1">
        <f t="shared" si="97"/>
        <v>44.5</v>
      </c>
      <c r="U486" s="1">
        <v>1</v>
      </c>
      <c r="V486" s="1">
        <f t="shared" si="98"/>
        <v>81.5</v>
      </c>
      <c r="W486" s="1">
        <v>37</v>
      </c>
      <c r="X486" s="2">
        <v>45277</v>
      </c>
      <c r="Y486" s="1" t="s">
        <v>1667</v>
      </c>
      <c r="Z486" s="1">
        <f t="shared" si="99"/>
        <v>81.5</v>
      </c>
      <c r="AA486" s="1">
        <f t="shared" si="100"/>
        <v>7</v>
      </c>
      <c r="AB486" s="1" t="str">
        <f t="shared" si="101"/>
        <v>Late</v>
      </c>
      <c r="AC486" s="1">
        <f t="shared" si="102"/>
        <v>44.5</v>
      </c>
      <c r="AD486" s="7">
        <f t="shared" si="103"/>
        <v>0</v>
      </c>
      <c r="AE486" s="1">
        <f t="shared" si="104"/>
        <v>0</v>
      </c>
      <c r="AF486" s="1">
        <f t="shared" si="105"/>
        <v>0</v>
      </c>
    </row>
    <row r="487" spans="1:32" ht="14.25" customHeight="1" x14ac:dyDescent="0.3">
      <c r="A487" s="1" t="s">
        <v>394</v>
      </c>
      <c r="B487" s="1" t="s">
        <v>395</v>
      </c>
      <c r="C487" s="1" t="s">
        <v>396</v>
      </c>
      <c r="D487" s="1" t="str">
        <f t="shared" si="93"/>
        <v>Alexandra Smith</v>
      </c>
      <c r="E487" s="1">
        <v>70</v>
      </c>
      <c r="F487" s="1" t="s">
        <v>22</v>
      </c>
      <c r="G487" s="1" t="s">
        <v>23</v>
      </c>
      <c r="H487" s="1" t="s">
        <v>397</v>
      </c>
      <c r="I487" s="1" t="s">
        <v>398</v>
      </c>
      <c r="J487" s="1" t="s">
        <v>399</v>
      </c>
      <c r="K487" s="2">
        <v>45545</v>
      </c>
      <c r="L487" s="2" t="str">
        <f t="shared" si="94"/>
        <v>September</v>
      </c>
      <c r="M487" s="1" t="s">
        <v>400</v>
      </c>
      <c r="N487" s="1" t="s">
        <v>192</v>
      </c>
      <c r="O487" s="1">
        <v>20.7</v>
      </c>
      <c r="P487" s="1">
        <v>2</v>
      </c>
      <c r="Q487" s="1">
        <f t="shared" si="95"/>
        <v>41.4</v>
      </c>
      <c r="R487" s="1" t="s">
        <v>89</v>
      </c>
      <c r="S487" s="1">
        <f t="shared" si="96"/>
        <v>4.1399999999999997</v>
      </c>
      <c r="T487" s="1">
        <f t="shared" si="97"/>
        <v>37.26</v>
      </c>
      <c r="U487" s="1">
        <v>2</v>
      </c>
      <c r="V487" s="1">
        <f t="shared" si="98"/>
        <v>87.259999999999991</v>
      </c>
      <c r="W487" s="1">
        <v>50</v>
      </c>
      <c r="X487" s="2">
        <v>45547</v>
      </c>
      <c r="Y487" s="1" t="s">
        <v>401</v>
      </c>
      <c r="Z487" s="1">
        <f t="shared" si="99"/>
        <v>91.4</v>
      </c>
      <c r="AA487" s="1">
        <f t="shared" si="100"/>
        <v>2</v>
      </c>
      <c r="AB487" s="1" t="str">
        <f t="shared" si="101"/>
        <v>Intime</v>
      </c>
      <c r="AC487" s="1">
        <f t="shared" si="102"/>
        <v>41.4</v>
      </c>
      <c r="AD487" s="7">
        <f t="shared" si="103"/>
        <v>0.1</v>
      </c>
      <c r="AE487" s="1">
        <f t="shared" si="104"/>
        <v>4.1399999999999997</v>
      </c>
      <c r="AF487" s="1">
        <f t="shared" si="105"/>
        <v>54.14</v>
      </c>
    </row>
    <row r="488" spans="1:32" ht="14.25" customHeight="1" x14ac:dyDescent="0.3">
      <c r="A488" s="1" t="s">
        <v>769</v>
      </c>
      <c r="B488" s="1" t="s">
        <v>770</v>
      </c>
      <c r="C488" s="1" t="s">
        <v>771</v>
      </c>
      <c r="D488" s="1" t="str">
        <f t="shared" si="93"/>
        <v>Lindsey Byrd</v>
      </c>
      <c r="E488" s="1">
        <v>32</v>
      </c>
      <c r="F488" s="1" t="s">
        <v>22</v>
      </c>
      <c r="G488" s="1" t="s">
        <v>152</v>
      </c>
      <c r="H488" s="1" t="s">
        <v>772</v>
      </c>
      <c r="I488" s="1" t="s">
        <v>773</v>
      </c>
      <c r="J488" s="1" t="s">
        <v>774</v>
      </c>
      <c r="K488" s="2">
        <v>45106</v>
      </c>
      <c r="L488" s="2" t="str">
        <f t="shared" si="94"/>
        <v>June</v>
      </c>
      <c r="M488" s="1" t="s">
        <v>775</v>
      </c>
      <c r="N488" s="1" t="s">
        <v>192</v>
      </c>
      <c r="O488" s="1">
        <v>20.7</v>
      </c>
      <c r="P488" s="1">
        <v>2</v>
      </c>
      <c r="Q488" s="1">
        <f t="shared" si="95"/>
        <v>41.4</v>
      </c>
      <c r="R488" s="1" t="s">
        <v>56</v>
      </c>
      <c r="S488" s="1">
        <f t="shared" si="96"/>
        <v>0</v>
      </c>
      <c r="T488" s="1">
        <f t="shared" si="97"/>
        <v>41.4</v>
      </c>
      <c r="U488" s="1">
        <v>7</v>
      </c>
      <c r="V488" s="1">
        <f t="shared" si="98"/>
        <v>84.4</v>
      </c>
      <c r="W488" s="1">
        <v>43</v>
      </c>
      <c r="X488" s="2">
        <v>45107</v>
      </c>
      <c r="Y488" s="1" t="s">
        <v>776</v>
      </c>
      <c r="Z488" s="1">
        <f t="shared" si="99"/>
        <v>84.4</v>
      </c>
      <c r="AA488" s="1">
        <f t="shared" si="100"/>
        <v>1</v>
      </c>
      <c r="AB488" s="1" t="str">
        <f t="shared" si="101"/>
        <v>BeforeTime</v>
      </c>
      <c r="AC488" s="1">
        <f t="shared" si="102"/>
        <v>41.4</v>
      </c>
      <c r="AD488" s="7">
        <f t="shared" si="103"/>
        <v>0</v>
      </c>
      <c r="AE488" s="1">
        <f t="shared" si="104"/>
        <v>0</v>
      </c>
      <c r="AF488" s="1">
        <f t="shared" si="105"/>
        <v>0</v>
      </c>
    </row>
    <row r="489" spans="1:32" ht="14.25" customHeight="1" x14ac:dyDescent="0.3">
      <c r="A489" s="1" t="s">
        <v>413</v>
      </c>
      <c r="B489" s="1" t="s">
        <v>414</v>
      </c>
      <c r="C489" s="1" t="s">
        <v>415</v>
      </c>
      <c r="D489" s="1" t="str">
        <f t="shared" si="93"/>
        <v>Amanda Howard</v>
      </c>
      <c r="E489" s="1">
        <v>52</v>
      </c>
      <c r="F489" s="1" t="s">
        <v>45</v>
      </c>
      <c r="G489" s="1" t="s">
        <v>213</v>
      </c>
      <c r="H489" s="1" t="s">
        <v>416</v>
      </c>
      <c r="I489" s="1" t="s">
        <v>417</v>
      </c>
      <c r="J489" s="1" t="s">
        <v>1414</v>
      </c>
      <c r="K489" s="2">
        <v>45279</v>
      </c>
      <c r="L489" s="2" t="str">
        <f t="shared" si="94"/>
        <v>December</v>
      </c>
      <c r="M489" s="1" t="s">
        <v>1415</v>
      </c>
      <c r="N489" s="1" t="s">
        <v>192</v>
      </c>
      <c r="O489" s="1">
        <v>20.7</v>
      </c>
      <c r="P489" s="1">
        <v>2</v>
      </c>
      <c r="Q489" s="1">
        <f t="shared" si="95"/>
        <v>41.4</v>
      </c>
      <c r="R489" s="1" t="s">
        <v>29</v>
      </c>
      <c r="S489" s="1">
        <f t="shared" si="96"/>
        <v>3.3119999999999998</v>
      </c>
      <c r="T489" s="1">
        <f t="shared" si="97"/>
        <v>38.088000000000001</v>
      </c>
      <c r="U489" s="1">
        <v>7</v>
      </c>
      <c r="V489" s="1">
        <f t="shared" si="98"/>
        <v>77.087999999999994</v>
      </c>
      <c r="W489" s="1">
        <v>39</v>
      </c>
      <c r="X489" s="2">
        <v>45286</v>
      </c>
      <c r="Y489" s="1" t="s">
        <v>1416</v>
      </c>
      <c r="Z489" s="1">
        <f t="shared" si="99"/>
        <v>80.400000000000006</v>
      </c>
      <c r="AA489" s="1">
        <f t="shared" si="100"/>
        <v>7</v>
      </c>
      <c r="AB489" s="1" t="str">
        <f t="shared" si="101"/>
        <v>Intime</v>
      </c>
      <c r="AC489" s="1">
        <f t="shared" si="102"/>
        <v>41.4</v>
      </c>
      <c r="AD489" s="7">
        <f t="shared" si="103"/>
        <v>0.08</v>
      </c>
      <c r="AE489" s="1">
        <f t="shared" si="104"/>
        <v>3.3119999999999998</v>
      </c>
      <c r="AF489" s="1">
        <f t="shared" si="105"/>
        <v>42.311999999999998</v>
      </c>
    </row>
    <row r="490" spans="1:32" ht="14.25" customHeight="1" x14ac:dyDescent="0.3">
      <c r="A490" s="1" t="s">
        <v>1239</v>
      </c>
      <c r="B490" s="1" t="s">
        <v>59</v>
      </c>
      <c r="C490" s="1" t="s">
        <v>1240</v>
      </c>
      <c r="D490" s="1" t="str">
        <f t="shared" si="93"/>
        <v>Angela Casey</v>
      </c>
      <c r="E490" s="1">
        <v>40</v>
      </c>
      <c r="F490" s="1" t="s">
        <v>22</v>
      </c>
      <c r="G490" s="1" t="s">
        <v>69</v>
      </c>
      <c r="H490" s="1" t="s">
        <v>1241</v>
      </c>
      <c r="I490" s="1" t="s">
        <v>1242</v>
      </c>
      <c r="J490" s="1" t="s">
        <v>1862</v>
      </c>
      <c r="K490" s="2">
        <v>45175</v>
      </c>
      <c r="L490" s="2" t="str">
        <f t="shared" si="94"/>
        <v>September</v>
      </c>
      <c r="M490" s="1" t="s">
        <v>1863</v>
      </c>
      <c r="N490" s="1" t="s">
        <v>192</v>
      </c>
      <c r="O490" s="1">
        <v>20.7</v>
      </c>
      <c r="P490" s="1">
        <v>2</v>
      </c>
      <c r="Q490" s="1">
        <f t="shared" si="95"/>
        <v>41.4</v>
      </c>
      <c r="R490" s="1" t="s">
        <v>29</v>
      </c>
      <c r="S490" s="1">
        <f t="shared" si="96"/>
        <v>3.3119999999999998</v>
      </c>
      <c r="T490" s="1">
        <f t="shared" si="97"/>
        <v>38.088000000000001</v>
      </c>
      <c r="U490" s="1">
        <v>5</v>
      </c>
      <c r="V490" s="1">
        <f t="shared" si="98"/>
        <v>99.087999999999994</v>
      </c>
      <c r="W490" s="1">
        <v>61</v>
      </c>
      <c r="X490" s="2">
        <v>45177</v>
      </c>
      <c r="Y490" s="1" t="s">
        <v>1864</v>
      </c>
      <c r="Z490" s="1">
        <f t="shared" si="99"/>
        <v>102.4</v>
      </c>
      <c r="AA490" s="1">
        <f t="shared" si="100"/>
        <v>2</v>
      </c>
      <c r="AB490" s="1" t="str">
        <f t="shared" si="101"/>
        <v>BeforeTime</v>
      </c>
      <c r="AC490" s="1">
        <f t="shared" si="102"/>
        <v>41.4</v>
      </c>
      <c r="AD490" s="7">
        <f t="shared" si="103"/>
        <v>0.08</v>
      </c>
      <c r="AE490" s="1">
        <f t="shared" si="104"/>
        <v>3.3119999999999998</v>
      </c>
      <c r="AF490" s="1">
        <f t="shared" si="105"/>
        <v>64.311999999999998</v>
      </c>
    </row>
    <row r="491" spans="1:32" ht="14.25" customHeight="1" x14ac:dyDescent="0.3">
      <c r="A491" s="1" t="s">
        <v>158</v>
      </c>
      <c r="B491" s="1" t="s">
        <v>159</v>
      </c>
      <c r="C491" s="1" t="s">
        <v>160</v>
      </c>
      <c r="D491" s="1" t="str">
        <f t="shared" si="93"/>
        <v>Erin Miller</v>
      </c>
      <c r="E491" s="1">
        <v>46</v>
      </c>
      <c r="F491" s="1" t="s">
        <v>22</v>
      </c>
      <c r="G491" s="1" t="s">
        <v>161</v>
      </c>
      <c r="H491" s="1" t="s">
        <v>162</v>
      </c>
      <c r="I491" s="1" t="s">
        <v>163</v>
      </c>
      <c r="J491" s="1" t="s">
        <v>1479</v>
      </c>
      <c r="K491" s="2">
        <v>45479</v>
      </c>
      <c r="L491" s="2" t="str">
        <f t="shared" si="94"/>
        <v>July</v>
      </c>
      <c r="M491" s="1" t="s">
        <v>1480</v>
      </c>
      <c r="N491" s="1" t="s">
        <v>767</v>
      </c>
      <c r="O491" s="1">
        <v>20</v>
      </c>
      <c r="P491" s="1">
        <v>2</v>
      </c>
      <c r="Q491" s="1">
        <f t="shared" si="95"/>
        <v>40</v>
      </c>
      <c r="R491" s="1" t="s">
        <v>89</v>
      </c>
      <c r="S491" s="1">
        <f t="shared" si="96"/>
        <v>4</v>
      </c>
      <c r="T491" s="1">
        <f t="shared" si="97"/>
        <v>36</v>
      </c>
      <c r="U491" s="1">
        <v>3</v>
      </c>
      <c r="V491" s="1">
        <f t="shared" si="98"/>
        <v>74</v>
      </c>
      <c r="W491" s="1">
        <v>38</v>
      </c>
      <c r="X491" s="2">
        <v>45485</v>
      </c>
      <c r="Y491" s="1" t="s">
        <v>1481</v>
      </c>
      <c r="Z491" s="1">
        <f t="shared" si="99"/>
        <v>78</v>
      </c>
      <c r="AA491" s="1">
        <f t="shared" si="100"/>
        <v>6</v>
      </c>
      <c r="AB491" s="1" t="str">
        <f t="shared" si="101"/>
        <v>Late</v>
      </c>
      <c r="AC491" s="1">
        <f t="shared" si="102"/>
        <v>40</v>
      </c>
      <c r="AD491" s="7">
        <f t="shared" si="103"/>
        <v>0.1</v>
      </c>
      <c r="AE491" s="1">
        <f t="shared" si="104"/>
        <v>4</v>
      </c>
      <c r="AF491" s="1">
        <f t="shared" si="105"/>
        <v>42</v>
      </c>
    </row>
    <row r="492" spans="1:32" ht="14.25" customHeight="1" x14ac:dyDescent="0.3">
      <c r="A492" s="1" t="s">
        <v>451</v>
      </c>
      <c r="B492" s="1" t="s">
        <v>452</v>
      </c>
      <c r="C492" s="1" t="s">
        <v>453</v>
      </c>
      <c r="D492" s="1" t="str">
        <f t="shared" si="93"/>
        <v>Rebecca Figueroa</v>
      </c>
      <c r="E492" s="1">
        <v>63</v>
      </c>
      <c r="F492" s="1" t="s">
        <v>22</v>
      </c>
      <c r="G492" s="1" t="s">
        <v>133</v>
      </c>
      <c r="H492" s="1" t="s">
        <v>454</v>
      </c>
      <c r="I492" s="1" t="s">
        <v>455</v>
      </c>
      <c r="J492" s="1" t="s">
        <v>1509</v>
      </c>
      <c r="K492" s="2">
        <v>45623</v>
      </c>
      <c r="L492" s="2" t="str">
        <f t="shared" si="94"/>
        <v>November</v>
      </c>
      <c r="M492" s="1" t="s">
        <v>1510</v>
      </c>
      <c r="N492" s="1" t="s">
        <v>767</v>
      </c>
      <c r="O492" s="1">
        <v>20</v>
      </c>
      <c r="P492" s="1">
        <v>2</v>
      </c>
      <c r="Q492" s="1">
        <f t="shared" si="95"/>
        <v>40</v>
      </c>
      <c r="R492" s="1" t="s">
        <v>56</v>
      </c>
      <c r="S492" s="1">
        <f t="shared" si="96"/>
        <v>0</v>
      </c>
      <c r="T492" s="1">
        <f t="shared" si="97"/>
        <v>40</v>
      </c>
      <c r="U492" s="1">
        <v>5</v>
      </c>
      <c r="V492" s="1">
        <f t="shared" si="98"/>
        <v>95</v>
      </c>
      <c r="W492" s="1">
        <v>55</v>
      </c>
      <c r="X492" s="2">
        <v>45629</v>
      </c>
      <c r="Y492" s="1" t="s">
        <v>1511</v>
      </c>
      <c r="Z492" s="1">
        <f t="shared" si="99"/>
        <v>95</v>
      </c>
      <c r="AA492" s="1">
        <f t="shared" si="100"/>
        <v>6</v>
      </c>
      <c r="AB492" s="1" t="str">
        <f t="shared" si="101"/>
        <v>Late</v>
      </c>
      <c r="AC492" s="1">
        <f t="shared" si="102"/>
        <v>40</v>
      </c>
      <c r="AD492" s="7">
        <f t="shared" si="103"/>
        <v>0</v>
      </c>
      <c r="AE492" s="1">
        <f t="shared" si="104"/>
        <v>0</v>
      </c>
      <c r="AF492" s="1">
        <f t="shared" si="105"/>
        <v>0</v>
      </c>
    </row>
    <row r="493" spans="1:32" ht="14.25" customHeight="1" x14ac:dyDescent="0.3">
      <c r="A493" s="1" t="s">
        <v>168</v>
      </c>
      <c r="B493" s="1" t="s">
        <v>169</v>
      </c>
      <c r="C493" s="1" t="s">
        <v>170</v>
      </c>
      <c r="D493" s="1" t="str">
        <f t="shared" si="93"/>
        <v>Gina Moreno</v>
      </c>
      <c r="E493" s="1">
        <v>36</v>
      </c>
      <c r="F493" s="1" t="s">
        <v>45</v>
      </c>
      <c r="G493" s="1" t="s">
        <v>133</v>
      </c>
      <c r="H493" s="1" t="s">
        <v>171</v>
      </c>
      <c r="I493" s="1" t="s">
        <v>172</v>
      </c>
      <c r="J493" s="1" t="s">
        <v>1775</v>
      </c>
      <c r="K493" s="2">
        <v>45194</v>
      </c>
      <c r="L493" s="2" t="str">
        <f t="shared" si="94"/>
        <v>September</v>
      </c>
      <c r="M493" s="1" t="s">
        <v>1776</v>
      </c>
      <c r="N493" s="1" t="s">
        <v>767</v>
      </c>
      <c r="O493" s="1">
        <v>20</v>
      </c>
      <c r="P493" s="1">
        <v>2</v>
      </c>
      <c r="Q493" s="1">
        <f t="shared" si="95"/>
        <v>40</v>
      </c>
      <c r="R493" s="1" t="s">
        <v>89</v>
      </c>
      <c r="S493" s="1">
        <f t="shared" si="96"/>
        <v>4</v>
      </c>
      <c r="T493" s="1">
        <f t="shared" si="97"/>
        <v>36</v>
      </c>
      <c r="U493" s="1">
        <v>1</v>
      </c>
      <c r="V493" s="1">
        <f t="shared" si="98"/>
        <v>104</v>
      </c>
      <c r="W493" s="1">
        <v>68</v>
      </c>
      <c r="X493" s="2">
        <v>45195</v>
      </c>
      <c r="Y493" s="1" t="s">
        <v>1777</v>
      </c>
      <c r="Z493" s="1">
        <f t="shared" si="99"/>
        <v>108</v>
      </c>
      <c r="AA493" s="1">
        <f t="shared" si="100"/>
        <v>1</v>
      </c>
      <c r="AB493" s="1" t="str">
        <f t="shared" si="101"/>
        <v>Intime</v>
      </c>
      <c r="AC493" s="1">
        <f t="shared" si="102"/>
        <v>40</v>
      </c>
      <c r="AD493" s="7">
        <f t="shared" si="103"/>
        <v>0.1</v>
      </c>
      <c r="AE493" s="1">
        <f t="shared" si="104"/>
        <v>4</v>
      </c>
      <c r="AF493" s="1">
        <f t="shared" si="105"/>
        <v>72</v>
      </c>
    </row>
    <row r="494" spans="1:32" ht="14.25" customHeight="1" x14ac:dyDescent="0.3">
      <c r="A494" s="1" t="s">
        <v>130</v>
      </c>
      <c r="B494" s="1" t="s">
        <v>131</v>
      </c>
      <c r="C494" s="1" t="s">
        <v>132</v>
      </c>
      <c r="D494" s="1" t="str">
        <f t="shared" si="93"/>
        <v>Kara Brennan</v>
      </c>
      <c r="E494" s="1">
        <v>25</v>
      </c>
      <c r="F494" s="1" t="s">
        <v>45</v>
      </c>
      <c r="G494" s="1" t="s">
        <v>133</v>
      </c>
      <c r="H494" s="1" t="s">
        <v>134</v>
      </c>
      <c r="I494" s="1" t="s">
        <v>135</v>
      </c>
      <c r="J494" s="1" t="s">
        <v>975</v>
      </c>
      <c r="K494" s="2">
        <v>45580</v>
      </c>
      <c r="L494" s="2" t="str">
        <f t="shared" si="94"/>
        <v>October</v>
      </c>
      <c r="M494" s="1" t="s">
        <v>976</v>
      </c>
      <c r="N494" s="1" t="s">
        <v>977</v>
      </c>
      <c r="O494" s="1">
        <v>33.49</v>
      </c>
      <c r="P494" s="1">
        <v>1</v>
      </c>
      <c r="Q494" s="1">
        <f t="shared" si="95"/>
        <v>33.49</v>
      </c>
      <c r="R494" s="1" t="s">
        <v>56</v>
      </c>
      <c r="S494" s="1">
        <f t="shared" si="96"/>
        <v>0</v>
      </c>
      <c r="T494" s="1">
        <f t="shared" si="97"/>
        <v>33.49</v>
      </c>
      <c r="U494" s="1">
        <v>1</v>
      </c>
      <c r="V494" s="1">
        <f t="shared" si="98"/>
        <v>92.490000000000009</v>
      </c>
      <c r="W494" s="1">
        <v>59</v>
      </c>
      <c r="X494" s="2">
        <v>45585</v>
      </c>
      <c r="Y494" s="1" t="s">
        <v>978</v>
      </c>
      <c r="Z494" s="1">
        <f t="shared" si="99"/>
        <v>92.490000000000009</v>
      </c>
      <c r="AA494" s="1">
        <f t="shared" si="100"/>
        <v>5</v>
      </c>
      <c r="AB494" s="1" t="str">
        <f t="shared" si="101"/>
        <v>Late</v>
      </c>
      <c r="AC494" s="1">
        <f t="shared" si="102"/>
        <v>33.49</v>
      </c>
      <c r="AD494" s="7">
        <f t="shared" si="103"/>
        <v>0</v>
      </c>
      <c r="AE494" s="1">
        <f t="shared" si="104"/>
        <v>0</v>
      </c>
      <c r="AF494" s="1">
        <f t="shared" si="105"/>
        <v>0</v>
      </c>
    </row>
    <row r="495" spans="1:32" ht="14.25" customHeight="1" x14ac:dyDescent="0.3">
      <c r="A495" s="1" t="s">
        <v>632</v>
      </c>
      <c r="B495" s="1" t="s">
        <v>141</v>
      </c>
      <c r="C495" s="1" t="s">
        <v>633</v>
      </c>
      <c r="D495" s="1" t="str">
        <f t="shared" si="93"/>
        <v>Amy Ellis</v>
      </c>
      <c r="E495" s="1">
        <v>44</v>
      </c>
      <c r="F495" s="1" t="s">
        <v>45</v>
      </c>
      <c r="G495" s="1" t="s">
        <v>83</v>
      </c>
      <c r="H495" s="1" t="s">
        <v>634</v>
      </c>
      <c r="I495" s="1" t="s">
        <v>635</v>
      </c>
      <c r="J495" s="1" t="s">
        <v>1085</v>
      </c>
      <c r="K495" s="2">
        <v>45285</v>
      </c>
      <c r="L495" s="2" t="str">
        <f t="shared" si="94"/>
        <v>December</v>
      </c>
      <c r="M495" s="1" t="s">
        <v>1086</v>
      </c>
      <c r="N495" s="1" t="s">
        <v>977</v>
      </c>
      <c r="O495" s="1">
        <v>33.49</v>
      </c>
      <c r="P495" s="1">
        <v>1</v>
      </c>
      <c r="Q495" s="1">
        <f t="shared" si="95"/>
        <v>33.49</v>
      </c>
      <c r="R495" s="1" t="s">
        <v>29</v>
      </c>
      <c r="S495" s="1">
        <f t="shared" si="96"/>
        <v>2.6792000000000002</v>
      </c>
      <c r="T495" s="1">
        <f t="shared" si="97"/>
        <v>30.8108</v>
      </c>
      <c r="U495" s="1">
        <v>2</v>
      </c>
      <c r="V495" s="1">
        <f t="shared" si="98"/>
        <v>97.8108</v>
      </c>
      <c r="W495" s="1">
        <v>67</v>
      </c>
      <c r="X495" s="2">
        <v>45286</v>
      </c>
      <c r="Y495" s="1" t="s">
        <v>1087</v>
      </c>
      <c r="Z495" s="1">
        <f t="shared" si="99"/>
        <v>100.49000000000001</v>
      </c>
      <c r="AA495" s="1">
        <f t="shared" si="100"/>
        <v>1</v>
      </c>
      <c r="AB495" s="1" t="str">
        <f t="shared" si="101"/>
        <v>BeforeTime</v>
      </c>
      <c r="AC495" s="1">
        <f t="shared" si="102"/>
        <v>33.49</v>
      </c>
      <c r="AD495" s="7">
        <f t="shared" si="103"/>
        <v>0.08</v>
      </c>
      <c r="AE495" s="1">
        <f t="shared" si="104"/>
        <v>2.6792000000000002</v>
      </c>
      <c r="AF495" s="1">
        <f t="shared" si="105"/>
        <v>69.679199999999994</v>
      </c>
    </row>
    <row r="496" spans="1:32" ht="14.25" customHeight="1" x14ac:dyDescent="0.3">
      <c r="A496" s="1" t="s">
        <v>513</v>
      </c>
      <c r="B496" s="1" t="s">
        <v>514</v>
      </c>
      <c r="C496" s="1" t="s">
        <v>515</v>
      </c>
      <c r="D496" s="1" t="str">
        <f t="shared" si="93"/>
        <v>Katherine Weber</v>
      </c>
      <c r="E496" s="1">
        <v>42</v>
      </c>
      <c r="F496" s="1" t="s">
        <v>45</v>
      </c>
      <c r="G496" s="1" t="s">
        <v>69</v>
      </c>
      <c r="H496" s="1" t="s">
        <v>516</v>
      </c>
      <c r="I496" s="1" t="s">
        <v>517</v>
      </c>
      <c r="J496" s="1" t="s">
        <v>1554</v>
      </c>
      <c r="K496" s="2">
        <v>45666</v>
      </c>
      <c r="L496" s="2" t="str">
        <f t="shared" si="94"/>
        <v>January</v>
      </c>
      <c r="M496" s="1" t="s">
        <v>1555</v>
      </c>
      <c r="N496" s="1" t="s">
        <v>977</v>
      </c>
      <c r="O496" s="1">
        <v>33.49</v>
      </c>
      <c r="P496" s="1">
        <v>1</v>
      </c>
      <c r="Q496" s="1">
        <f t="shared" si="95"/>
        <v>33.49</v>
      </c>
      <c r="R496" s="1" t="s">
        <v>78</v>
      </c>
      <c r="S496" s="1">
        <f t="shared" si="96"/>
        <v>6.6980000000000004</v>
      </c>
      <c r="T496" s="1">
        <f t="shared" si="97"/>
        <v>26.792000000000002</v>
      </c>
      <c r="U496" s="1">
        <v>4</v>
      </c>
      <c r="V496" s="1">
        <f t="shared" si="98"/>
        <v>87.792000000000002</v>
      </c>
      <c r="W496" s="1">
        <v>61</v>
      </c>
      <c r="X496" s="2">
        <v>45668</v>
      </c>
      <c r="Y496" s="1" t="s">
        <v>1446</v>
      </c>
      <c r="Z496" s="1">
        <f t="shared" si="99"/>
        <v>94.490000000000009</v>
      </c>
      <c r="AA496" s="1">
        <f t="shared" si="100"/>
        <v>2</v>
      </c>
      <c r="AB496" s="1" t="str">
        <f t="shared" si="101"/>
        <v>BeforeTime</v>
      </c>
      <c r="AC496" s="1">
        <f t="shared" si="102"/>
        <v>33.49</v>
      </c>
      <c r="AD496" s="7">
        <f t="shared" si="103"/>
        <v>0.2</v>
      </c>
      <c r="AE496" s="1">
        <f t="shared" si="104"/>
        <v>6.6980000000000004</v>
      </c>
      <c r="AF496" s="1">
        <f t="shared" si="105"/>
        <v>67.698000000000008</v>
      </c>
    </row>
    <row r="497" spans="1:32" ht="14.25" customHeight="1" x14ac:dyDescent="0.3">
      <c r="A497" s="1" t="s">
        <v>1607</v>
      </c>
      <c r="B497" s="1" t="s">
        <v>266</v>
      </c>
      <c r="C497" s="1" t="s">
        <v>1608</v>
      </c>
      <c r="D497" s="1" t="str">
        <f t="shared" si="93"/>
        <v>Lauren Crane</v>
      </c>
      <c r="E497" s="1">
        <v>62</v>
      </c>
      <c r="F497" s="1" t="s">
        <v>34</v>
      </c>
      <c r="G497" s="1" t="s">
        <v>35</v>
      </c>
      <c r="H497" s="1" t="s">
        <v>1609</v>
      </c>
      <c r="I497" s="1" t="s">
        <v>1610</v>
      </c>
      <c r="J497" s="1" t="s">
        <v>1907</v>
      </c>
      <c r="K497" s="2">
        <v>45380</v>
      </c>
      <c r="L497" s="2" t="str">
        <f t="shared" si="94"/>
        <v>March</v>
      </c>
      <c r="M497" s="1" t="s">
        <v>1908</v>
      </c>
      <c r="N497" s="1" t="s">
        <v>977</v>
      </c>
      <c r="O497" s="1">
        <v>33.49</v>
      </c>
      <c r="P497" s="1">
        <v>1</v>
      </c>
      <c r="Q497" s="1">
        <f t="shared" si="95"/>
        <v>33.49</v>
      </c>
      <c r="R497" s="1" t="s">
        <v>56</v>
      </c>
      <c r="S497" s="1">
        <f t="shared" si="96"/>
        <v>0</v>
      </c>
      <c r="T497" s="1">
        <f t="shared" si="97"/>
        <v>33.49</v>
      </c>
      <c r="U497" s="1">
        <v>2</v>
      </c>
      <c r="V497" s="1">
        <f t="shared" si="98"/>
        <v>102.49000000000001</v>
      </c>
      <c r="W497" s="1">
        <v>69</v>
      </c>
      <c r="X497" s="2">
        <v>45385</v>
      </c>
      <c r="Y497" s="1" t="s">
        <v>1909</v>
      </c>
      <c r="Z497" s="1">
        <f t="shared" si="99"/>
        <v>102.49000000000001</v>
      </c>
      <c r="AA497" s="1">
        <f t="shared" si="100"/>
        <v>5</v>
      </c>
      <c r="AB497" s="1" t="str">
        <f t="shared" si="101"/>
        <v>Late</v>
      </c>
      <c r="AC497" s="1">
        <f t="shared" si="102"/>
        <v>33.49</v>
      </c>
      <c r="AD497" s="7">
        <f t="shared" si="103"/>
        <v>0</v>
      </c>
      <c r="AE497" s="1">
        <f t="shared" si="104"/>
        <v>0</v>
      </c>
      <c r="AF497" s="1">
        <f t="shared" si="105"/>
        <v>0</v>
      </c>
    </row>
    <row r="498" spans="1:32" ht="14.25" customHeight="1" x14ac:dyDescent="0.3">
      <c r="A498" s="1" t="s">
        <v>698</v>
      </c>
      <c r="B498" s="1" t="s">
        <v>699</v>
      </c>
      <c r="C498" s="1" t="s">
        <v>700</v>
      </c>
      <c r="D498" s="1" t="str">
        <f t="shared" si="93"/>
        <v>Gregory Lee</v>
      </c>
      <c r="E498" s="1">
        <v>26</v>
      </c>
      <c r="F498" s="1" t="s">
        <v>45</v>
      </c>
      <c r="G498" s="1" t="s">
        <v>69</v>
      </c>
      <c r="H498" s="1" t="s">
        <v>701</v>
      </c>
      <c r="I498" s="1" t="s">
        <v>702</v>
      </c>
      <c r="J498" s="1" t="s">
        <v>2019</v>
      </c>
      <c r="K498" s="2">
        <v>45204</v>
      </c>
      <c r="L498" s="2" t="str">
        <f t="shared" si="94"/>
        <v>October</v>
      </c>
      <c r="M498" s="1" t="s">
        <v>2020</v>
      </c>
      <c r="N498" s="1" t="s">
        <v>977</v>
      </c>
      <c r="O498" s="1">
        <v>33.49</v>
      </c>
      <c r="P498" s="1">
        <v>1</v>
      </c>
      <c r="Q498" s="1">
        <f t="shared" si="95"/>
        <v>33.49</v>
      </c>
      <c r="R498" s="1" t="s">
        <v>51</v>
      </c>
      <c r="S498" s="1">
        <f t="shared" si="96"/>
        <v>5.0235000000000003</v>
      </c>
      <c r="T498" s="1">
        <f t="shared" si="97"/>
        <v>28.466500000000003</v>
      </c>
      <c r="U498" s="1">
        <v>4</v>
      </c>
      <c r="V498" s="1">
        <f t="shared" si="98"/>
        <v>72.466499999999996</v>
      </c>
      <c r="W498" s="1">
        <v>44</v>
      </c>
      <c r="X498" s="2">
        <v>45206</v>
      </c>
      <c r="Y498" s="1" t="s">
        <v>2021</v>
      </c>
      <c r="Z498" s="1">
        <f t="shared" si="99"/>
        <v>77.490000000000009</v>
      </c>
      <c r="AA498" s="1">
        <f t="shared" si="100"/>
        <v>2</v>
      </c>
      <c r="AB498" s="1" t="str">
        <f t="shared" si="101"/>
        <v>BeforeTime</v>
      </c>
      <c r="AC498" s="1">
        <f t="shared" si="102"/>
        <v>33.49</v>
      </c>
      <c r="AD498" s="7">
        <f t="shared" si="103"/>
        <v>0.15</v>
      </c>
      <c r="AE498" s="1">
        <f t="shared" si="104"/>
        <v>5.0235000000000003</v>
      </c>
      <c r="AF498" s="1">
        <f t="shared" si="105"/>
        <v>49.023499999999999</v>
      </c>
    </row>
    <row r="499" spans="1:32" ht="14.25" customHeight="1" x14ac:dyDescent="0.3">
      <c r="A499" s="1" t="s">
        <v>1184</v>
      </c>
      <c r="B499" s="1" t="s">
        <v>33</v>
      </c>
      <c r="C499" s="1" t="s">
        <v>1185</v>
      </c>
      <c r="D499" s="1" t="str">
        <f t="shared" si="93"/>
        <v>Thomas Owens</v>
      </c>
      <c r="E499" s="1">
        <v>34</v>
      </c>
      <c r="F499" s="1" t="s">
        <v>45</v>
      </c>
      <c r="G499" s="1" t="s">
        <v>213</v>
      </c>
      <c r="H499" s="1" t="s">
        <v>1186</v>
      </c>
      <c r="I499" s="1" t="s">
        <v>1187</v>
      </c>
      <c r="J499" s="1" t="s">
        <v>1559</v>
      </c>
      <c r="K499" s="2">
        <v>45085</v>
      </c>
      <c r="L499" s="2" t="str">
        <f t="shared" si="94"/>
        <v>June</v>
      </c>
      <c r="M499" s="1" t="s">
        <v>1560</v>
      </c>
      <c r="N499" s="1" t="s">
        <v>192</v>
      </c>
      <c r="O499" s="1">
        <v>20.7</v>
      </c>
      <c r="P499" s="1">
        <v>1</v>
      </c>
      <c r="Q499" s="1">
        <f t="shared" si="95"/>
        <v>20.7</v>
      </c>
      <c r="R499" s="1" t="s">
        <v>56</v>
      </c>
      <c r="S499" s="1">
        <f t="shared" si="96"/>
        <v>0</v>
      </c>
      <c r="T499" s="1">
        <f t="shared" si="97"/>
        <v>20.7</v>
      </c>
      <c r="U499" s="1">
        <v>5</v>
      </c>
      <c r="V499" s="1">
        <f t="shared" si="98"/>
        <v>71.7</v>
      </c>
      <c r="W499" s="1">
        <v>51</v>
      </c>
      <c r="X499" s="2">
        <v>45086</v>
      </c>
      <c r="Y499" s="1" t="s">
        <v>1561</v>
      </c>
      <c r="Z499" s="1">
        <f t="shared" si="99"/>
        <v>71.7</v>
      </c>
      <c r="AA499" s="1">
        <f t="shared" si="100"/>
        <v>1</v>
      </c>
      <c r="AB499" s="1" t="str">
        <f t="shared" si="101"/>
        <v>BeforeTime</v>
      </c>
      <c r="AC499" s="1">
        <f t="shared" si="102"/>
        <v>20.7</v>
      </c>
      <c r="AD499" s="7">
        <f t="shared" si="103"/>
        <v>0</v>
      </c>
      <c r="AE499" s="1">
        <f t="shared" si="104"/>
        <v>0</v>
      </c>
      <c r="AF499" s="1">
        <f t="shared" si="105"/>
        <v>0</v>
      </c>
    </row>
    <row r="500" spans="1:32" ht="14.25" customHeight="1" x14ac:dyDescent="0.3">
      <c r="A500" s="1" t="s">
        <v>177</v>
      </c>
      <c r="B500" s="1" t="s">
        <v>178</v>
      </c>
      <c r="C500" s="1" t="s">
        <v>179</v>
      </c>
      <c r="D500" s="1" t="str">
        <f t="shared" si="93"/>
        <v>Mallory Mitchell</v>
      </c>
      <c r="E500" s="1">
        <v>42</v>
      </c>
      <c r="F500" s="1" t="s">
        <v>34</v>
      </c>
      <c r="G500" s="1" t="s">
        <v>161</v>
      </c>
      <c r="H500" s="1" t="s">
        <v>180</v>
      </c>
      <c r="I500" s="1" t="s">
        <v>181</v>
      </c>
      <c r="J500" s="1" t="s">
        <v>1995</v>
      </c>
      <c r="K500" s="2">
        <v>45290</v>
      </c>
      <c r="L500" s="2" t="str">
        <f t="shared" si="94"/>
        <v>December</v>
      </c>
      <c r="M500" s="1" t="s">
        <v>1996</v>
      </c>
      <c r="N500" s="1" t="s">
        <v>192</v>
      </c>
      <c r="O500" s="1">
        <v>20.7</v>
      </c>
      <c r="P500" s="1">
        <v>1</v>
      </c>
      <c r="Q500" s="1">
        <f t="shared" si="95"/>
        <v>20.7</v>
      </c>
      <c r="R500" s="1" t="s">
        <v>89</v>
      </c>
      <c r="S500" s="1">
        <f t="shared" si="96"/>
        <v>2.0699999999999998</v>
      </c>
      <c r="T500" s="1">
        <f t="shared" si="97"/>
        <v>18.63</v>
      </c>
      <c r="U500" s="1">
        <v>5</v>
      </c>
      <c r="V500" s="1">
        <f t="shared" si="98"/>
        <v>73.63</v>
      </c>
      <c r="W500" s="1">
        <v>55</v>
      </c>
      <c r="X500" s="2">
        <v>45291</v>
      </c>
      <c r="Y500" s="1" t="s">
        <v>1997</v>
      </c>
      <c r="Z500" s="1">
        <f t="shared" si="99"/>
        <v>75.7</v>
      </c>
      <c r="AA500" s="1">
        <f t="shared" si="100"/>
        <v>1</v>
      </c>
      <c r="AB500" s="1" t="str">
        <f t="shared" si="101"/>
        <v>BeforeTime</v>
      </c>
      <c r="AC500" s="1">
        <f t="shared" si="102"/>
        <v>20.7</v>
      </c>
      <c r="AD500" s="7">
        <f t="shared" si="103"/>
        <v>0.1</v>
      </c>
      <c r="AE500" s="1">
        <f t="shared" si="104"/>
        <v>2.0699999999999998</v>
      </c>
      <c r="AF500" s="1">
        <f t="shared" si="105"/>
        <v>57.07</v>
      </c>
    </row>
    <row r="501" spans="1:32" ht="14.25" customHeight="1" x14ac:dyDescent="0.3">
      <c r="A501" s="1" t="s">
        <v>760</v>
      </c>
      <c r="B501" s="1" t="s">
        <v>761</v>
      </c>
      <c r="C501" s="1" t="s">
        <v>762</v>
      </c>
      <c r="D501" s="1" t="str">
        <f t="shared" si="93"/>
        <v>Kristina Haynes</v>
      </c>
      <c r="E501" s="1">
        <v>27</v>
      </c>
      <c r="F501" s="1" t="s">
        <v>22</v>
      </c>
      <c r="G501" s="1" t="s">
        <v>35</v>
      </c>
      <c r="H501" s="1" t="s">
        <v>763</v>
      </c>
      <c r="I501" s="1" t="s">
        <v>764</v>
      </c>
      <c r="J501" s="1" t="s">
        <v>765</v>
      </c>
      <c r="K501" s="2">
        <v>45183</v>
      </c>
      <c r="L501" s="2" t="str">
        <f t="shared" si="94"/>
        <v>September</v>
      </c>
      <c r="M501" s="1" t="s">
        <v>766</v>
      </c>
      <c r="N501" s="1" t="s">
        <v>767</v>
      </c>
      <c r="O501" s="1">
        <v>20</v>
      </c>
      <c r="P501" s="1">
        <v>1</v>
      </c>
      <c r="Q501" s="1">
        <f t="shared" si="95"/>
        <v>20</v>
      </c>
      <c r="R501" s="1" t="s">
        <v>89</v>
      </c>
      <c r="S501" s="1">
        <f t="shared" si="96"/>
        <v>2</v>
      </c>
      <c r="T501" s="1">
        <f t="shared" si="97"/>
        <v>18</v>
      </c>
      <c r="U501" s="1">
        <v>4</v>
      </c>
      <c r="V501" s="1">
        <f t="shared" si="98"/>
        <v>86</v>
      </c>
      <c r="W501" s="1">
        <v>68</v>
      </c>
      <c r="X501" s="2">
        <v>45185</v>
      </c>
      <c r="Y501" s="1" t="s">
        <v>768</v>
      </c>
      <c r="Z501" s="1">
        <f t="shared" si="99"/>
        <v>88</v>
      </c>
      <c r="AA501" s="1">
        <f t="shared" si="100"/>
        <v>2</v>
      </c>
      <c r="AB501" s="1" t="str">
        <f t="shared" si="101"/>
        <v>BeforeTime</v>
      </c>
      <c r="AC501" s="1">
        <f t="shared" si="102"/>
        <v>20</v>
      </c>
      <c r="AD501" s="7">
        <f t="shared" si="103"/>
        <v>0.1</v>
      </c>
      <c r="AE501" s="1">
        <f t="shared" si="104"/>
        <v>2</v>
      </c>
      <c r="AF501" s="1">
        <f t="shared" si="105"/>
        <v>70</v>
      </c>
    </row>
    <row r="502" spans="1:32" ht="14.25" customHeight="1" x14ac:dyDescent="0.3"/>
    <row r="503" spans="1:32" ht="14.25" customHeight="1" x14ac:dyDescent="0.3"/>
    <row r="504" spans="1:32" ht="14.25" customHeight="1" x14ac:dyDescent="0.3">
      <c r="C504">
        <f>COUNTA(_xlfn.UNIQUE(A2:A501))</f>
        <v>100</v>
      </c>
    </row>
    <row r="505" spans="1:32" ht="14.25" customHeight="1" x14ac:dyDescent="0.3">
      <c r="C505">
        <f>COUNTA(_xlfn.UNIQUE(A2:A501))</f>
        <v>100</v>
      </c>
    </row>
    <row r="506" spans="1:32" ht="14.25" customHeight="1" x14ac:dyDescent="0.3"/>
    <row r="507" spans="1:32" ht="14.25" customHeight="1" x14ac:dyDescent="0.3"/>
    <row r="508" spans="1:32" ht="14.25" customHeight="1" x14ac:dyDescent="0.3"/>
    <row r="509" spans="1:32" ht="14.25" customHeight="1" x14ac:dyDescent="0.3"/>
    <row r="510" spans="1:32" ht="14.25" customHeight="1" x14ac:dyDescent="0.3">
      <c r="C510">
        <f>MAX(Q2:Q501)</f>
        <v>2482.9499999999998</v>
      </c>
    </row>
    <row r="511" spans="1:32" ht="14.25" customHeight="1" x14ac:dyDescent="0.3"/>
    <row r="512" spans="1:32" ht="14.25" customHeight="1" x14ac:dyDescent="0.3"/>
    <row r="513" spans="3:3" ht="14.25" customHeight="1" x14ac:dyDescent="0.3">
      <c r="C513">
        <f>AVERAGE(E2:E501)</f>
        <v>42.124000000000002</v>
      </c>
    </row>
    <row r="514" spans="3:3" ht="14.25" customHeight="1" x14ac:dyDescent="0.3"/>
    <row r="515" spans="3:3" ht="14.25" customHeight="1" x14ac:dyDescent="0.3"/>
    <row r="516" spans="3:3" ht="14.25" customHeight="1" x14ac:dyDescent="0.3">
      <c r="C516">
        <f>COUNTA(J2:J501)</f>
        <v>500</v>
      </c>
    </row>
    <row r="517" spans="3:3" ht="14.25" customHeight="1" x14ac:dyDescent="0.3"/>
    <row r="518" spans="3:3" ht="14.25" customHeight="1" x14ac:dyDescent="0.3"/>
    <row r="519" spans="3:3" ht="14.25" customHeight="1" x14ac:dyDescent="0.3">
      <c r="C519">
        <f>AVERAGE(U2:U501)</f>
        <v>4.08</v>
      </c>
    </row>
    <row r="520" spans="3:3" ht="14.25" customHeight="1" x14ac:dyDescent="0.3"/>
    <row r="521" spans="3:3" ht="14.25" customHeight="1" x14ac:dyDescent="0.3">
      <c r="C521">
        <f>COUNTIF(W2:W501,0)</f>
        <v>0</v>
      </c>
    </row>
    <row r="522" spans="3:3" ht="14.25" customHeight="1" x14ac:dyDescent="0.3"/>
    <row r="523" spans="3:3" ht="14.25" customHeight="1" x14ac:dyDescent="0.3">
      <c r="C523">
        <f>COUNTA(_xlfn.UNIQUE(N2:N501))</f>
        <v>50</v>
      </c>
    </row>
    <row r="524" spans="3:3" ht="14.25" customHeight="1" x14ac:dyDescent="0.3"/>
    <row r="525" spans="3:3" ht="14.25" customHeight="1" x14ac:dyDescent="0.3"/>
    <row r="526" spans="3:3" ht="14.25" customHeight="1" x14ac:dyDescent="0.3">
      <c r="C526">
        <f>SUM(V2:V501)</f>
        <v>352448.7596999997</v>
      </c>
    </row>
    <row r="527" spans="3:3" ht="14.25" customHeight="1" x14ac:dyDescent="0.3"/>
    <row r="528" spans="3:3" ht="14.25" customHeight="1" x14ac:dyDescent="0.3">
      <c r="C528">
        <f>SUM(Q2:Q501)</f>
        <v>364289.48999999929</v>
      </c>
    </row>
    <row r="529" spans="3:3" ht="14.25" customHeight="1" x14ac:dyDescent="0.3"/>
    <row r="530" spans="3:3" ht="14.25" customHeight="1" x14ac:dyDescent="0.3"/>
    <row r="531" spans="3:3" ht="14.25" customHeight="1" x14ac:dyDescent="0.3">
      <c r="C531">
        <f>SUM(T2:T501)</f>
        <v>326325.75969999982</v>
      </c>
    </row>
    <row r="532" spans="3:3" ht="14.25" customHeight="1" x14ac:dyDescent="0.3"/>
    <row r="533" spans="3:3" ht="14.25" customHeight="1" x14ac:dyDescent="0.3"/>
    <row r="534" spans="3:3" ht="14.25" customHeight="1" x14ac:dyDescent="0.3"/>
    <row r="535" spans="3:3" ht="14.25" customHeight="1" x14ac:dyDescent="0.3"/>
    <row r="536" spans="3:3" ht="14.25" customHeight="1" x14ac:dyDescent="0.3"/>
    <row r="537" spans="3:3" ht="14.25" customHeight="1" x14ac:dyDescent="0.3"/>
    <row r="538" spans="3:3" ht="14.25" customHeight="1" x14ac:dyDescent="0.3"/>
    <row r="539" spans="3:3" ht="14.25" customHeight="1" x14ac:dyDescent="0.3"/>
    <row r="540" spans="3:3" ht="14.25" customHeight="1" x14ac:dyDescent="0.3"/>
    <row r="541" spans="3:3" ht="14.25" customHeight="1" x14ac:dyDescent="0.3"/>
    <row r="542" spans="3:3" ht="14.25" customHeight="1" x14ac:dyDescent="0.3"/>
    <row r="543" spans="3:3" ht="14.25" customHeight="1" x14ac:dyDescent="0.3"/>
    <row r="544" spans="3:3"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89A2D-CA4E-48CC-B524-740AB32270D3}">
  <dimension ref="A1"/>
  <sheetViews>
    <sheetView zoomScale="32" zoomScaleNormal="71" workbookViewId="0">
      <selection activeCell="U5" sqref="U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3B</vt:lpstr>
      <vt:lpstr>3C</vt:lpstr>
      <vt:lpstr>Top 10 Customers by Total Sales</vt:lpstr>
      <vt:lpstr>13</vt:lpstr>
      <vt:lpstr>14</vt:lpstr>
      <vt:lpstr>15</vt:lpstr>
      <vt:lpstr>16</vt:lpstr>
      <vt:lpstr>17</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 Amulya</cp:lastModifiedBy>
  <dcterms:created xsi:type="dcterms:W3CDTF">2025-02-08T05:14:48Z</dcterms:created>
  <dcterms:modified xsi:type="dcterms:W3CDTF">2026-08-11T16:01:14Z</dcterms:modified>
</cp:coreProperties>
</file>